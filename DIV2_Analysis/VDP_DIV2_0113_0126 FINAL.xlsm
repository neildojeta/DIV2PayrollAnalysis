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pple_gi6luwz\Desktop\DIV2_Analysis\DIV2_Analysis\"/>
    </mc:Choice>
  </mc:AlternateContent>
  <xr:revisionPtr revIDLastSave="0" documentId="13_ncr:1_{A596644B-B57F-4304-92DB-97F12052355F}" xr6:coauthVersionLast="47" xr6:coauthVersionMax="47" xr10:uidLastSave="{00000000-0000-0000-0000-000000000000}"/>
  <bookViews>
    <workbookView xWindow="885" yWindow="2100" windowWidth="27990" windowHeight="18480" activeTab="3" xr2:uid="{B8D06934-52C6-4BB8-B059-005FB850008B}"/>
  </bookViews>
  <sheets>
    <sheet name="SEND VDP Statement" sheetId="21" r:id="rId1"/>
    <sheet name="Pay Period" sheetId="3" r:id="rId2"/>
    <sheet name="Deduction and other Revenue" sheetId="11" state="hidden" r:id="rId3"/>
    <sheet name="PR" sheetId="12" r:id="rId4"/>
    <sheet name="PRExportPrep" sheetId="16" state="veryHidden" r:id="rId5"/>
    <sheet name="NewSheet" sheetId="8" r:id="rId6"/>
    <sheet name="VDPMVReport" sheetId="7" state="hidden" r:id="rId7"/>
    <sheet name="Sheet1" sheetId="22" r:id="rId8"/>
    <sheet name="SumVDPMVReport" sheetId="10" r:id="rId9"/>
    <sheet name="Div2PartnerOperatorCheck" sheetId="17" r:id="rId10"/>
    <sheet name="ExPre" sheetId="15" state="hidden" r:id="rId11"/>
    <sheet name="Div2PartnerListPR" sheetId="13" state="hidden" r:id="rId12"/>
    <sheet name="Div2PartnerList" sheetId="6" state="hidden" r:id="rId13"/>
    <sheet name="TollsChecks" sheetId="20" r:id="rId14"/>
    <sheet name="Tolls" sheetId="19" state="hidden" r:id="rId15"/>
    <sheet name="FilePath" sheetId="1" state="hidden" r:id="rId16"/>
    <sheet name="DropDown" sheetId="9" state="very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5" hidden="1">NewSheet!$B$11:$Q$29</definedName>
    <definedName name="Customer_ID">[1]INVOICE!$C$11</definedName>
    <definedName name="Customer_Name">[1]INVOICE!$H$7</definedName>
    <definedName name="ExternalData_1" localSheetId="12" hidden="1">Div2PartnerList!$A$1:$G$59</definedName>
    <definedName name="ExternalData_1" localSheetId="8" hidden="1">SumVDPMVReport!$A$1:$BJ$11</definedName>
    <definedName name="ExternalData_1" localSheetId="14" hidden="1">Tolls!$A$1:$G$5</definedName>
    <definedName name="ExternalData_2" localSheetId="2" hidden="1">'Deduction and other Revenue'!$A$1:$Q$26</definedName>
    <definedName name="ExternalData_2" localSheetId="11" hidden="1">Div2PartnerListPR!$A$1:$E$6</definedName>
    <definedName name="ExternalData_2" localSheetId="9" hidden="1">Div2PartnerOperatorCheck!$A$1:$D$59</definedName>
    <definedName name="ExternalData_2" localSheetId="13" hidden="1">TollsChecks!$A$1:$G$2</definedName>
    <definedName name="ExternalData_2" localSheetId="6" hidden="1">VDPMVReport!$A$1:$AK$38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90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22" l="1"/>
  <c r="T5" i="22"/>
  <c r="T6" i="22"/>
  <c r="T7" i="22"/>
  <c r="T8" i="22"/>
  <c r="T9" i="22"/>
  <c r="T10" i="22"/>
  <c r="T11" i="22"/>
  <c r="T12" i="22"/>
  <c r="T13" i="22"/>
  <c r="R4" i="22"/>
  <c r="S4" i="22" s="1"/>
  <c r="R5" i="22"/>
  <c r="S5" i="22" s="1"/>
  <c r="R6" i="22"/>
  <c r="S6" i="22" s="1"/>
  <c r="R7" i="22"/>
  <c r="R8" i="22"/>
  <c r="S8" i="22" s="1"/>
  <c r="R9" i="22"/>
  <c r="S9" i="22" s="1"/>
  <c r="R10" i="22"/>
  <c r="R11" i="22"/>
  <c r="R12" i="22"/>
  <c r="S12" i="22" s="1"/>
  <c r="R13" i="22"/>
  <c r="S13" i="22" s="1"/>
  <c r="N13" i="22"/>
  <c r="N12" i="22"/>
  <c r="N11" i="22"/>
  <c r="N10" i="22"/>
  <c r="N9" i="22"/>
  <c r="N8" i="22"/>
  <c r="N7" i="22"/>
  <c r="N6" i="22"/>
  <c r="N5" i="22"/>
  <c r="N4" i="22"/>
  <c r="S11" i="22"/>
  <c r="S10" i="22"/>
  <c r="S7" i="22"/>
  <c r="F13" i="22"/>
  <c r="F12" i="22"/>
  <c r="F9" i="22"/>
  <c r="F8" i="22"/>
  <c r="F6" i="22"/>
  <c r="R17" i="12"/>
  <c r="S17" i="12"/>
  <c r="D3" i="3"/>
  <c r="B12" i="8" a="1"/>
  <c r="B12" i="8" s="1"/>
  <c r="AP12" i="15" l="1" a="1"/>
  <c r="AP12" i="15" s="1"/>
  <c r="AP6" i="15"/>
  <c r="AP5" i="15"/>
  <c r="AP4" i="15"/>
  <c r="AP3" i="15"/>
  <c r="AL3" i="15"/>
  <c r="AP7" i="15" l="1"/>
  <c r="D2" i="3" l="1"/>
  <c r="D11" i="12" l="1"/>
  <c r="D12" i="12"/>
  <c r="D13" i="12"/>
  <c r="B6" i="8" l="1" a="1"/>
  <c r="U8" i="8" l="1"/>
  <c r="V8" i="8"/>
  <c r="F8" i="8"/>
  <c r="T8" i="8"/>
  <c r="P8" i="8"/>
  <c r="S8" i="8"/>
  <c r="C8" i="8"/>
  <c r="H8" i="8"/>
  <c r="R8" i="8"/>
  <c r="K8" i="8"/>
  <c r="J8" i="8"/>
  <c r="I8" i="8"/>
  <c r="O8" i="8"/>
  <c r="L8" i="8"/>
  <c r="B6" i="8"/>
  <c r="B3" i="1" a="1"/>
  <c r="B3" i="1" s="1"/>
  <c r="E17" i="1" l="1"/>
  <c r="E19" i="1"/>
  <c r="E18" i="1"/>
  <c r="E16" i="1"/>
  <c r="P13" i="12" l="1" a="1"/>
  <c r="P13" i="12" s="1"/>
  <c r="P12" i="12" a="1"/>
  <c r="P12" i="12" s="1"/>
  <c r="P11" i="12" a="1"/>
  <c r="P11" i="12" s="1"/>
  <c r="O13" i="12" a="1"/>
  <c r="O13" i="12" s="1"/>
  <c r="O12" i="12" a="1"/>
  <c r="O12" i="12" s="1"/>
  <c r="O11" i="12" a="1"/>
  <c r="O11" i="12" s="1"/>
  <c r="N13" i="12" a="1"/>
  <c r="N13" i="12" s="1"/>
  <c r="N12" i="12" a="1"/>
  <c r="N12" i="12" s="1"/>
  <c r="N11" i="12" a="1"/>
  <c r="N11" i="12" s="1"/>
  <c r="M13" i="12" a="1"/>
  <c r="M13" i="12" s="1"/>
  <c r="M12" i="12" a="1"/>
  <c r="M12" i="12" s="1"/>
  <c r="M11" i="12" a="1"/>
  <c r="M11" i="12" s="1"/>
  <c r="L13" i="12" a="1"/>
  <c r="L13" i="12" s="1"/>
  <c r="L12" i="12" a="1"/>
  <c r="L12" i="12" s="1"/>
  <c r="L11" i="12" a="1"/>
  <c r="L11" i="12" s="1"/>
  <c r="J13" i="12" a="1"/>
  <c r="J13" i="12" s="1"/>
  <c r="J12" i="12" a="1"/>
  <c r="J12" i="12" s="1"/>
  <c r="J11" i="12" a="1"/>
  <c r="J11" i="12" s="1"/>
  <c r="I13" i="12" a="1"/>
  <c r="I13" i="12" s="1"/>
  <c r="I12" i="12" a="1"/>
  <c r="I12" i="12" s="1"/>
  <c r="I11" i="12" a="1"/>
  <c r="I11" i="12" s="1"/>
  <c r="H13" i="12" a="1"/>
  <c r="H13" i="12" s="1"/>
  <c r="H12" i="12" a="1"/>
  <c r="H12" i="12" s="1"/>
  <c r="H11" i="12" a="1"/>
  <c r="H11" i="12" s="1"/>
  <c r="G13" i="12" a="1"/>
  <c r="G13" i="12" s="1"/>
  <c r="G12" i="12" a="1"/>
  <c r="G12" i="12" s="1"/>
  <c r="G11" i="12" a="1"/>
  <c r="G11" i="12" s="1"/>
  <c r="K13" i="12" l="1" a="1"/>
  <c r="K13" i="12" s="1"/>
  <c r="K12" i="12" a="1"/>
  <c r="K12" i="12" s="1"/>
  <c r="K11" i="12" a="1"/>
  <c r="K11" i="12" s="1"/>
  <c r="E14" i="12" l="1"/>
  <c r="E17" i="12" s="1"/>
  <c r="AB6" i="8"/>
  <c r="AE6" i="8"/>
  <c r="AE5" i="8"/>
  <c r="AE4" i="8"/>
  <c r="AE3" i="8"/>
  <c r="AE7" i="8" l="1"/>
  <c r="A1" i="9" a="1"/>
  <c r="A1" i="9" s="1"/>
  <c r="X12" i="8" l="1" a="1"/>
  <c r="X12" i="8" s="1"/>
  <c r="AB4" i="8"/>
  <c r="F12" i="12" l="1"/>
  <c r="F13" i="12"/>
  <c r="Q13" i="12" l="1"/>
  <c r="Q12" i="12"/>
  <c r="A6" i="12" a="1"/>
  <c r="D10" i="12" l="1"/>
  <c r="L10" i="12" a="1"/>
  <c r="L10" i="12" s="1"/>
  <c r="P10" i="12" a="1"/>
  <c r="P10" i="12" s="1"/>
  <c r="N10" i="12" a="1"/>
  <c r="N10" i="12" s="1"/>
  <c r="G10" i="12" a="1"/>
  <c r="G10" i="12" s="1"/>
  <c r="I10" i="12" a="1"/>
  <c r="I10" i="12" s="1"/>
  <c r="M10" i="12" a="1"/>
  <c r="M10" i="12" s="1"/>
  <c r="O10" i="12" a="1"/>
  <c r="O10" i="12" s="1"/>
  <c r="J10" i="12" a="1"/>
  <c r="J10" i="12" s="1"/>
  <c r="H10" i="12" a="1"/>
  <c r="H10" i="12" s="1"/>
  <c r="K10" i="12" a="1"/>
  <c r="K10" i="12" s="1"/>
  <c r="D7" i="12"/>
  <c r="D8" i="12"/>
  <c r="D9" i="12"/>
  <c r="N7" i="12" a="1"/>
  <c r="N7" i="12" s="1"/>
  <c r="L9" i="12" a="1"/>
  <c r="L9" i="12" s="1"/>
  <c r="H8" i="12" a="1"/>
  <c r="H8" i="12" s="1"/>
  <c r="O9" i="12" a="1"/>
  <c r="O9" i="12" s="1"/>
  <c r="L8" i="12" a="1"/>
  <c r="L8" i="12" s="1"/>
  <c r="H7" i="12" a="1"/>
  <c r="H7" i="12" s="1"/>
  <c r="O8" i="12" a="1"/>
  <c r="O8" i="12" s="1"/>
  <c r="L7" i="12" a="1"/>
  <c r="L7" i="12" s="1"/>
  <c r="I9" i="12" a="1"/>
  <c r="I9" i="12" s="1"/>
  <c r="O7" i="12" a="1"/>
  <c r="O7" i="12" s="1"/>
  <c r="M9" i="12" a="1"/>
  <c r="M9" i="12" s="1"/>
  <c r="I8" i="12" a="1"/>
  <c r="I8" i="12" s="1"/>
  <c r="P9" i="12" a="1"/>
  <c r="P9" i="12" s="1"/>
  <c r="M8" i="12" a="1"/>
  <c r="M8" i="12" s="1"/>
  <c r="I7" i="12" a="1"/>
  <c r="I7" i="12" s="1"/>
  <c r="G9" i="12" a="1"/>
  <c r="G9" i="12" s="1"/>
  <c r="P8" i="12" a="1"/>
  <c r="P8" i="12" s="1"/>
  <c r="M7" i="12" a="1"/>
  <c r="M7" i="12" s="1"/>
  <c r="J9" i="12" a="1"/>
  <c r="J9" i="12" s="1"/>
  <c r="G8" i="12" a="1"/>
  <c r="G8" i="12" s="1"/>
  <c r="P7" i="12" a="1"/>
  <c r="P7" i="12" s="1"/>
  <c r="N9" i="12" a="1"/>
  <c r="N9" i="12" s="1"/>
  <c r="J8" i="12" a="1"/>
  <c r="J8" i="12" s="1"/>
  <c r="G7" i="12" a="1"/>
  <c r="G7" i="12" s="1"/>
  <c r="N8" i="12" a="1"/>
  <c r="N8" i="12" s="1"/>
  <c r="J7" i="12" a="1"/>
  <c r="J7" i="12" s="1"/>
  <c r="H9" i="12" a="1"/>
  <c r="H9" i="12" s="1"/>
  <c r="K9" i="12" a="1"/>
  <c r="K9" i="12" s="1"/>
  <c r="K8" i="12" a="1"/>
  <c r="K8" i="12" s="1"/>
  <c r="K7" i="12" a="1"/>
  <c r="K7" i="12" s="1"/>
  <c r="F11" i="12"/>
  <c r="F10" i="12"/>
  <c r="A6" i="12"/>
  <c r="C2" i="16" s="1" a="1"/>
  <c r="C2" i="16" s="1"/>
  <c r="F7" i="12"/>
  <c r="F8" i="12"/>
  <c r="F9" i="12"/>
  <c r="AB3" i="8"/>
  <c r="D6" i="12" l="1"/>
  <c r="J6" i="12" a="1"/>
  <c r="J6" i="12" s="1"/>
  <c r="J14" i="12" s="1"/>
  <c r="J17" i="12" s="1"/>
  <c r="N6" i="12" a="1"/>
  <c r="N6" i="12" s="1"/>
  <c r="N14" i="12" s="1"/>
  <c r="N17" i="12" s="1"/>
  <c r="H6" i="12" a="1"/>
  <c r="H6" i="12" s="1"/>
  <c r="H14" i="12" s="1"/>
  <c r="H17" i="12" s="1"/>
  <c r="L6" i="12" a="1"/>
  <c r="L6" i="12" s="1"/>
  <c r="L14" i="12" s="1"/>
  <c r="L17" i="12" s="1"/>
  <c r="O6" i="12" a="1"/>
  <c r="O6" i="12" s="1"/>
  <c r="O14" i="12" s="1"/>
  <c r="O17" i="12" s="1"/>
  <c r="I6" i="12" a="1"/>
  <c r="I6" i="12" s="1"/>
  <c r="I14" i="12" s="1"/>
  <c r="I17" i="12" s="1"/>
  <c r="M6" i="12" a="1"/>
  <c r="M6" i="12" s="1"/>
  <c r="M14" i="12" s="1"/>
  <c r="M17" i="12" s="1"/>
  <c r="P6" i="12" a="1"/>
  <c r="P6" i="12" s="1"/>
  <c r="P14" i="12" s="1"/>
  <c r="P17" i="12" s="1"/>
  <c r="G6" i="12" a="1"/>
  <c r="G6" i="12" s="1"/>
  <c r="G14" i="12" s="1"/>
  <c r="G17" i="12" s="1"/>
  <c r="K6" i="12" a="1"/>
  <c r="K6" i="12" s="1"/>
  <c r="K14" i="12" s="1"/>
  <c r="K17" i="12" s="1"/>
  <c r="Q11" i="12"/>
  <c r="Q10" i="12"/>
  <c r="Q9" i="12"/>
  <c r="Q8" i="12"/>
  <c r="Q7" i="12"/>
  <c r="F6" i="12"/>
  <c r="F14" i="12" s="1"/>
  <c r="F17" i="12" s="1"/>
  <c r="D14" i="12" l="1"/>
  <c r="D17" i="12" s="1"/>
  <c r="H2" i="16" a="1"/>
  <c r="H2" i="16" s="1"/>
  <c r="Q6" i="12"/>
  <c r="Q14" i="12" s="1"/>
  <c r="Q17" i="12" s="1"/>
  <c r="AB5" i="8"/>
  <c r="E2" i="16" l="1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AB7" i="8"/>
  <c r="Y3" i="8"/>
  <c r="Y5" i="8"/>
  <c r="Y4" i="8"/>
  <c r="Y6" i="8" l="1"/>
  <c r="I2" i="8" s="1"/>
  <c r="E8" i="8" l="1"/>
  <c r="D8" i="8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2PartnerList" description="Connection to the 'Div2PartnerList' query in the workbook." type="5" refreshedVersion="8" background="1" saveData="1">
    <dbPr connection="Provider=Microsoft.Mashup.OleDb.1;Data Source=$Workbook$;Location=Div2PartnerList;Extended Properties=&quot;&quot;" command="SELECT * FROM [Div2PartnerList]"/>
  </connection>
  <connection id="3" xr16:uid="{0DB1C7E5-56F2-45C2-A46F-37675FF4BD2F}" keepAlive="1" name="Query - Div2PartnerListPR" description="Connection to the 'Div2PartnerListPR' query in the workbook." type="5" refreshedVersion="8" background="1" saveData="1">
    <dbPr connection="Provider=Microsoft.Mashup.OleDb.1;Data Source=$Workbook$;Location=Div2PartnerListPR;Extended Properties=&quot;&quot;" command="SELECT * FROM [Div2PartnerListPR]"/>
  </connection>
  <connection id="4" xr16:uid="{CC1A1F4F-FACF-488B-8173-B1A2F43DEA7C}" keepAlive="1" name="Query - Div2PartnerOperatorCheck" description="Connection to the 'Div2PartnerOperatorCheck' query in the workbook." type="5" refreshedVersion="8" background="1" saveData="1">
    <dbPr connection="Provider=Microsoft.Mashup.OleDb.1;Data Source=$Workbook$;Location=Div2PartnerOperatorCheck;Extended Properties=&quot;&quot;" command="SELECT * FROM [Div2PartnerOperatorCheck]"/>
  </connection>
  <connection id="5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6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7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8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9" xr16:uid="{9D9D2375-E9CD-4459-B27F-4FFA51B5124B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0" xr16:uid="{551E8EFA-A702-4A10-99AF-A488A159D84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1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2" xr16:uid="{2206F676-F7F2-4644-87C2-FE1FFEF1BFFA}" keepAlive="1" name="Query - VDPMVReportMissingPartner" description="Connection to the 'VDPMVReportMissingPartner' query in the workbook." type="5" refreshedVersion="0" background="1">
    <dbPr connection="Provider=Microsoft.Mashup.OleDb.1;Data Source=$Workbook$;Location=VDPMVReportMissingPartner;Extended Properties=&quot;&quot;" command="SELECT * FROM [VDPMVReportMissingPartner]"/>
  </connection>
  <connection id="13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<sst xmlns="http://schemas.openxmlformats.org/spreadsheetml/2006/main" count="1241" uniqueCount="375">
  <si>
    <t>TBL WILL SEND OUT THE STATEMENT TO THE PARTNERS AFTER IT HAS BEEN APPROVED BY MANAGEMENT</t>
  </si>
  <si>
    <t>Type</t>
  </si>
  <si>
    <t>Start</t>
  </si>
  <si>
    <t>End</t>
  </si>
  <si>
    <t>Week#</t>
  </si>
  <si>
    <t>Per Normal Hour</t>
  </si>
  <si>
    <t>Per Bonus Hour</t>
  </si>
  <si>
    <t>Utilization Target</t>
  </si>
  <si>
    <t>Tier 1 ARDCRI Rate</t>
  </si>
  <si>
    <t>Tier 2 ARDCRI Rate</t>
  </si>
  <si>
    <t>FUEL RATE</t>
  </si>
  <si>
    <t>Uber</t>
  </si>
  <si>
    <t>Week1</t>
  </si>
  <si>
    <t>Week2</t>
  </si>
  <si>
    <t>PARTNER</t>
  </si>
  <si>
    <t>UNIT</t>
  </si>
  <si>
    <t xml:space="preserve"> Lift Lease Rate</t>
  </si>
  <si>
    <t xml:space="preserve">Lift Lease </t>
  </si>
  <si>
    <t>LIFT LEASE TOTAL</t>
  </si>
  <si>
    <t>Credentials</t>
  </si>
  <si>
    <t>Violation</t>
  </si>
  <si>
    <t>Other Income</t>
  </si>
  <si>
    <t>Bonus</t>
  </si>
  <si>
    <t>Reimbursement</t>
  </si>
  <si>
    <t>Tolls</t>
  </si>
  <si>
    <t>Camera Tickets</t>
  </si>
  <si>
    <t>Parking Tickets</t>
  </si>
  <si>
    <t>Other Deductions</t>
  </si>
  <si>
    <t>TYPE</t>
  </si>
  <si>
    <t>PartnerSort</t>
  </si>
  <si>
    <t>Total Violation</t>
  </si>
  <si>
    <t>AMY WALKER</t>
  </si>
  <si>
    <t>4409</t>
  </si>
  <si>
    <t>MODIVCARE</t>
  </si>
  <si>
    <t>BEYOND EXPRESS</t>
  </si>
  <si>
    <t>4574</t>
  </si>
  <si>
    <t>UBER WAV TRANSIT</t>
  </si>
  <si>
    <t>CIRCLE TRANSIT</t>
  </si>
  <si>
    <t>1012</t>
  </si>
  <si>
    <t>4575</t>
  </si>
  <si>
    <t>4576</t>
  </si>
  <si>
    <t>CASTLE TRANSIT LLC</t>
  </si>
  <si>
    <t>4578</t>
  </si>
  <si>
    <t>4422</t>
  </si>
  <si>
    <t>DEAN LOGISTICS SOLUTIONS LLC</t>
  </si>
  <si>
    <t>4579</t>
  </si>
  <si>
    <t>DIJUANS TRANSPORTATION LLC</t>
  </si>
  <si>
    <t>4376</t>
  </si>
  <si>
    <t>DIRECT TRANSIT LLC</t>
  </si>
  <si>
    <t>1001</t>
  </si>
  <si>
    <t>1009</t>
  </si>
  <si>
    <t>2701</t>
  </si>
  <si>
    <t>4382</t>
  </si>
  <si>
    <t>FULTON TRANSIT</t>
  </si>
  <si>
    <t>4428</t>
  </si>
  <si>
    <t>GET YOU THERE08</t>
  </si>
  <si>
    <t>4383</t>
  </si>
  <si>
    <t>JASEENAS TRANSPORTATION SERVIC</t>
  </si>
  <si>
    <t>JASTAR GORDON</t>
  </si>
  <si>
    <t>2556</t>
  </si>
  <si>
    <t>JERQWANA HUGHES</t>
  </si>
  <si>
    <t>ON TIME CONNECTION LLC</t>
  </si>
  <si>
    <t>4403</t>
  </si>
  <si>
    <t>PLEASANT HELP TRANSPORTATION</t>
  </si>
  <si>
    <t>4400</t>
  </si>
  <si>
    <t>Q-TELL TRANSIT LLC</t>
  </si>
  <si>
    <t>1010</t>
  </si>
  <si>
    <t>4404</t>
  </si>
  <si>
    <t>4426</t>
  </si>
  <si>
    <t>WHITEHEAD ENTERPRISES LLC</t>
  </si>
  <si>
    <t>4406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</si>
  <si>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</si>
  <si>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</si>
  <si>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</si>
  <si>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</si>
  <si>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</si>
  <si>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</si>
  <si>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</si>
  <si>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</si>
  <si>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</t>
  </si>
  <si>
    <t>Trip</t>
  </si>
  <si>
    <t>Fuel</t>
  </si>
  <si>
    <t>Misc</t>
  </si>
  <si>
    <t xml:space="preserve">Reimbursement </t>
  </si>
  <si>
    <t>Compliance</t>
  </si>
  <si>
    <t xml:space="preserve"> Lift Lease </t>
  </si>
  <si>
    <t>Other Deduction</t>
  </si>
  <si>
    <t xml:space="preserve"> Amount 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</si>
  <si>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</si>
  <si>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</si>
  <si>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</si>
  <si>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</si>
  <si>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</si>
  <si>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</si>
  <si>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</si>
  <si>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</si>
  <si>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</si>
  <si>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</si>
  <si>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</si>
  <si>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</si>
  <si>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Date</t>
  </si>
  <si>
    <t>MPG</t>
  </si>
  <si>
    <t>AAA</t>
  </si>
  <si>
    <t>Fuel Relief</t>
  </si>
  <si>
    <t>PAYOUT</t>
  </si>
  <si>
    <t>OTHER REVENUES</t>
  </si>
  <si>
    <t>DEDUCTIONS</t>
  </si>
  <si>
    <t>FIRST HOURLY EARNINGS</t>
  </si>
  <si>
    <t>TOTAL VIOLATION</t>
  </si>
  <si>
    <t>Bonuses</t>
  </si>
  <si>
    <t>FIRST</t>
  </si>
  <si>
    <t>Contract Hours Incentive</t>
  </si>
  <si>
    <t>Acceptance and Cancellation Incentive</t>
  </si>
  <si>
    <t>Other Earnings Misc</t>
  </si>
  <si>
    <t>WeekN</t>
  </si>
  <si>
    <t>Allowable Hours</t>
  </si>
  <si>
    <t>Online Hours</t>
  </si>
  <si>
    <t>Payable Normal Hours</t>
  </si>
  <si>
    <t>Payable Bonus Hours</t>
  </si>
  <si>
    <t>% of Hours to Forecast</t>
  </si>
  <si>
    <t>Normal Core Hours Rev</t>
  </si>
  <si>
    <t>Bonus 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</si>
  <si>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</si>
  <si>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</si>
  <si>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</si>
  <si>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</si>
  <si>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</si>
  <si>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</si>
  <si>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</si>
  <si>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</si>
  <si>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 xml:space="preserve">Driver Earnings Excl </t>
  </si>
  <si>
    <t>Total Rev</t>
  </si>
  <si>
    <t>TOTAL OTHER REVENUES:</t>
  </si>
  <si>
    <t>Other Violations</t>
  </si>
  <si>
    <t>Total</t>
  </si>
  <si>
    <t>UBER TRIPS</t>
  </si>
  <si>
    <t>Lease Details</t>
  </si>
  <si>
    <t>Hourly Fuel Relief</t>
  </si>
  <si>
    <t>Week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</si>
  <si>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</si>
  <si>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</si>
  <si>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</si>
  <si>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</si>
  <si>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</si>
  <si>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</si>
  <si>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</si>
  <si>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Lift Lease Unit</t>
  </si>
  <si>
    <t>Veh Number</t>
  </si>
  <si>
    <t>Miles</t>
  </si>
  <si>
    <t>Driver_UUID</t>
  </si>
  <si>
    <t>WAV Trips</t>
  </si>
  <si>
    <t>Non WAV Trips</t>
  </si>
  <si>
    <t>Utilized Hours</t>
  </si>
  <si>
    <t>Total_Expired_Offers</t>
  </si>
  <si>
    <t>Open Hours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</si>
  <si>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</si>
  <si>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</si>
  <si>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</si>
  <si>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</si>
  <si>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</si>
  <si>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</si>
  <si>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</si>
  <si>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</si>
  <si>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</si>
  <si>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KPI Hours</t>
  </si>
  <si>
    <t>Operators Name</t>
  </si>
  <si>
    <t>PARTNER NAME</t>
  </si>
  <si>
    <t>ANTWAN LAMBERT JR</t>
  </si>
  <si>
    <t>ETHEL STEWART</t>
  </si>
  <si>
    <t>MARGARET KESSLER</t>
  </si>
  <si>
    <t>BRENDA LUMPKIN</t>
  </si>
  <si>
    <t>MICHAEL WESLEY</t>
  </si>
  <si>
    <t>BRIAN SMITH</t>
  </si>
  <si>
    <t>JOAN RODECK</t>
  </si>
  <si>
    <t>DENNIS JONES</t>
  </si>
  <si>
    <t>LAWRENCE MOORE</t>
  </si>
  <si>
    <t>QUINTELLA JOHNSON</t>
  </si>
  <si>
    <t>STERLING ROGERS</t>
  </si>
  <si>
    <t>DEANNA NOTTAGE</t>
  </si>
  <si>
    <t>KRYSTAL MCCHRISTIAN</t>
  </si>
  <si>
    <t>EDWARD JACKSON</t>
  </si>
  <si>
    <t>YAHSHIRA REINHARD</t>
  </si>
  <si>
    <t>SARAH REINHARD</t>
  </si>
  <si>
    <t>KIMBERLY CARROLL</t>
  </si>
  <si>
    <t>DENNIS JONES JR</t>
  </si>
  <si>
    <t>HENRY PINCKNEY</t>
  </si>
  <si>
    <t>KAHALI GRIFFIN</t>
  </si>
  <si>
    <t>DAVID RODGERS</t>
  </si>
  <si>
    <t>% of Hours to Required</t>
  </si>
  <si>
    <t>Core Hours Rev</t>
  </si>
  <si>
    <t>Bonus Hours Rev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</si>
  <si>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</si>
  <si>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</si>
  <si>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</si>
  <si>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</si>
  <si>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</si>
  <si>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</si>
  <si>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Payable Online Hours</t>
  </si>
  <si>
    <t>Required</t>
  </si>
  <si>
    <t>CHI Rev</t>
  </si>
  <si>
    <t>Total Expired Offers</t>
  </si>
  <si>
    <t>Tier 1 ARDCRI KPI</t>
  </si>
  <si>
    <t>Tier 2 ARDCRI KPI</t>
  </si>
  <si>
    <t>Total ARDCRI KPI Rev</t>
  </si>
  <si>
    <t>Approved Extra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</si>
  <si>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</si>
  <si>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</si>
  <si>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</si>
  <si>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</si>
  <si>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</si>
  <si>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</si>
  <si>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Fuel Rate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</si>
  <si>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</si>
  <si>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</si>
  <si>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</si>
  <si>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</si>
  <si>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</si>
  <si>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</si>
  <si>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</si>
  <si>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</si>
  <si>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</si>
  <si>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</si>
  <si>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</si>
  <si>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ARDCRI Non KPI</t>
  </si>
  <si>
    <t>Driver Earnings Excl Tips</t>
  </si>
  <si>
    <t>OPERATOR NAME</t>
  </si>
  <si>
    <t>VDPMVReportOperatorCheck.Operators Name</t>
  </si>
  <si>
    <t>VDPMVReportOperatorCheck.PARTNER NAME</t>
  </si>
  <si>
    <t>CALLAHAN SHEEHAN</t>
  </si>
  <si>
    <t>ANTHONY PINCKNEY SR</t>
  </si>
  <si>
    <t>KENNETH HOUSTON</t>
  </si>
  <si>
    <t>OTHA COLLINS-MOORE</t>
  </si>
  <si>
    <t>ELVIN JONES</t>
  </si>
  <si>
    <t>NORMA LEWIS</t>
  </si>
  <si>
    <t>ISAIAH LEE</t>
  </si>
  <si>
    <t>KRESHAUNA DIXON</t>
  </si>
  <si>
    <t>TANYA CRAWFORD</t>
  </si>
  <si>
    <t>ANTONIETTE BLACKMON</t>
  </si>
  <si>
    <t>CHARLES BRYANT</t>
  </si>
  <si>
    <t>KEITH CAMPBELL</t>
  </si>
  <si>
    <t>MARLON FLEMING</t>
  </si>
  <si>
    <t>BOBBY HALL</t>
  </si>
  <si>
    <t>CLOR-ANN LANIGAN</t>
  </si>
  <si>
    <t>HORTENSE SUTTON</t>
  </si>
  <si>
    <t>LARRY TAYLOR</t>
  </si>
  <si>
    <t>GREGORY TURNER</t>
  </si>
  <si>
    <t>BANDU WENNIE</t>
  </si>
  <si>
    <t>BERNADINE SUTTON</t>
  </si>
  <si>
    <t>NORA BURRELL</t>
  </si>
  <si>
    <t>JAWUAN PITTMAN</t>
  </si>
  <si>
    <t>ROBIN MILLS</t>
  </si>
  <si>
    <t>PATRICK MCCLAIN</t>
  </si>
  <si>
    <t>PANTHEA REESE</t>
  </si>
  <si>
    <t>JAZZMIN FULTON</t>
  </si>
  <si>
    <t>KINA SHAW</t>
  </si>
  <si>
    <t>DIAMOND MOORE</t>
  </si>
  <si>
    <t>LANA AIKENS</t>
  </si>
  <si>
    <t>ZIZALEE LEGRE</t>
  </si>
  <si>
    <t>TRACY NOWLIN JR</t>
  </si>
  <si>
    <t>CHEYENNE WALLACE</t>
  </si>
  <si>
    <t>JERMEL BROWN</t>
  </si>
  <si>
    <t>STEVE LAWRENCE</t>
  </si>
  <si>
    <t>LISA BOONE</t>
  </si>
  <si>
    <t>OTHA COLLINS MOORE</t>
  </si>
  <si>
    <t>FILE #</t>
  </si>
  <si>
    <t>EMAIL</t>
  </si>
  <si>
    <t>CLIENT TYPE</t>
  </si>
  <si>
    <t>marlon@direct-transit.com</t>
  </si>
  <si>
    <t>FIRST, UBER WAV</t>
  </si>
  <si>
    <t>qtelltransit@gmail.com</t>
  </si>
  <si>
    <t>circletransit1@gmail.com</t>
  </si>
  <si>
    <t>jermel@bexconnect.com</t>
  </si>
  <si>
    <t>UBER WAV</t>
  </si>
  <si>
    <t>VEHICLE TYPE</t>
  </si>
  <si>
    <t>CLIENT TYPE - Copy</t>
  </si>
  <si>
    <t>WC, SEDAN</t>
  </si>
  <si>
    <t>SEDAN</t>
  </si>
  <si>
    <t>sedan</t>
  </si>
  <si>
    <t>StartDate</t>
  </si>
  <si>
    <t>EndDate</t>
  </si>
  <si>
    <t>Driver Name</t>
  </si>
  <si>
    <t>Folder</t>
  </si>
  <si>
    <t>Path</t>
  </si>
  <si>
    <t>VDP Folder</t>
  </si>
  <si>
    <t>Automation Folder</t>
  </si>
  <si>
    <t>SubFolder</t>
  </si>
  <si>
    <t>File</t>
  </si>
  <si>
    <t>FilePath</t>
  </si>
  <si>
    <t>Link</t>
  </si>
  <si>
    <t>RAW DATA\</t>
  </si>
  <si>
    <t>FilePath1</t>
  </si>
  <si>
    <t>FIRST REPORT\</t>
  </si>
  <si>
    <t>FilePath5</t>
  </si>
  <si>
    <t>Operator Deductions-Other Earnings.xlsx</t>
  </si>
  <si>
    <t>FilePath4</t>
  </si>
  <si>
    <t>DIV 2 Partner List.xlsx</t>
  </si>
  <si>
    <t>FilePath2</t>
  </si>
  <si>
    <t>DIV 2 Partner Rates.xlsx</t>
  </si>
  <si>
    <t>FilePath3</t>
  </si>
  <si>
    <t>DIV 2 Partner Change.xlsx</t>
  </si>
  <si>
    <t>FilePath6</t>
  </si>
  <si>
    <t>MPG per vehicle.xlsx</t>
  </si>
  <si>
    <t>FilePath7</t>
  </si>
  <si>
    <t>AAA Fuel Record.xlsx</t>
  </si>
  <si>
    <t>FilePath8</t>
  </si>
  <si>
    <t>Miles\</t>
  </si>
  <si>
    <t>FilePath9</t>
  </si>
  <si>
    <t>FilePath10</t>
  </si>
  <si>
    <t>UBER REPORT\</t>
  </si>
  <si>
    <t>BRENDA</t>
  </si>
  <si>
    <t>LUMPKIN</t>
  </si>
  <si>
    <t>Dennis</t>
  </si>
  <si>
    <t>Jones</t>
  </si>
  <si>
    <t>STERLING</t>
  </si>
  <si>
    <t>ROGERS</t>
  </si>
  <si>
    <t>Jones Jr</t>
  </si>
  <si>
    <t>HENRY</t>
  </si>
  <si>
    <t>PINCKNEY</t>
  </si>
  <si>
    <t>Ethel</t>
  </si>
  <si>
    <t>Stewart</t>
  </si>
  <si>
    <t>Sarah</t>
  </si>
  <si>
    <t>Reinhard</t>
  </si>
  <si>
    <t>Grand Total</t>
  </si>
  <si>
    <t>WALTER BURTON</t>
  </si>
  <si>
    <t>DIV2-IL</t>
  </si>
  <si>
    <t>Extra hours</t>
  </si>
  <si>
    <t>MICHAEL</t>
  </si>
  <si>
    <t>WESLEY</t>
  </si>
  <si>
    <t>8a53631f-e95d-497e-9f6b-94a59bf6f636</t>
  </si>
  <si>
    <t>KEITH</t>
  </si>
  <si>
    <t>CAMPBELL</t>
  </si>
  <si>
    <t>284b9ad4-43a7-4bc4-80f4-eed55e231392</t>
  </si>
  <si>
    <t>b06c3f82-32fd-4a9d-8c54-c7cfa213c376</t>
  </si>
  <si>
    <t>7a0ecf1f-5b18-42e6-a740-2a868b7052d0</t>
  </si>
  <si>
    <t>d1b3a90c-a07c-4a21-9f92-a312a5a2f56b</t>
  </si>
  <si>
    <t>BRIAN</t>
  </si>
  <si>
    <t>SMITH</t>
  </si>
  <si>
    <t>91a338b2-da4e-4086-ae08-c5bc0d720bb8</t>
  </si>
  <si>
    <t>f3d50d20-6656-4a9b-bd58-d99601e7189a</t>
  </si>
  <si>
    <t>Lawrence</t>
  </si>
  <si>
    <t>Moore</t>
  </si>
  <si>
    <t>b35f1770-90e0-40dd-b13a-6d24540e43db</t>
  </si>
  <si>
    <t>f40b3a6b-2d73-4777-bddb-fb9d8375184a</t>
  </si>
  <si>
    <t>DEANNA</t>
  </si>
  <si>
    <t>NOTTAGE</t>
  </si>
  <si>
    <t>dd405180-8e0c-46ff-87bc-75515e28b703</t>
  </si>
  <si>
    <t>edward</t>
  </si>
  <si>
    <t>jackson</t>
  </si>
  <si>
    <t>e97a4215-a663-48e7-9a1a-2873edaff975</t>
  </si>
  <si>
    <t>Kahali</t>
  </si>
  <si>
    <t>Griffin</t>
  </si>
  <si>
    <t>f9e35fd7-91ad-4d56-ab69-fa3ae91d609d</t>
  </si>
  <si>
    <t>2ae564bc-8728-4233-88f3-dc536e8d5ff2</t>
  </si>
  <si>
    <t>Quintella</t>
  </si>
  <si>
    <t>Johnson</t>
  </si>
  <si>
    <t>c367427f-36b8-425e-82bc-dd51606c8d26</t>
  </si>
  <si>
    <t>KIMBERLY</t>
  </si>
  <si>
    <t>CARROLL</t>
  </si>
  <si>
    <t>f05779d1-0ae6-4dd3-9f68-94766aab13ed</t>
  </si>
  <si>
    <t>David</t>
  </si>
  <si>
    <t>Rodgers</t>
  </si>
  <si>
    <t>febac3d6-acba-44ce-afd0-0ab4ec60b217</t>
  </si>
  <si>
    <t>ANTWAN</t>
  </si>
  <si>
    <t>LAMBERT JR</t>
  </si>
  <si>
    <t>1cf99add-e853-4b78-9d16-07a0a98a43fd</t>
  </si>
  <si>
    <t>eae086cc-8911-4063-9a13-f490618c484d</t>
  </si>
  <si>
    <t>WALTER</t>
  </si>
  <si>
    <t>BURTON</t>
  </si>
  <si>
    <t>35e88020-5a1f-4c0b-a669-3e15886fa4c3</t>
  </si>
  <si>
    <t>info@deanlogisticssolutions.com</t>
  </si>
  <si>
    <t>Required Hours</t>
  </si>
  <si>
    <t>Payable Hours</t>
  </si>
  <si>
    <t>Allowed Hours</t>
  </si>
  <si>
    <t>Unapproved Extra hours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</si>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</sst>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sz val="12"/>
      <color indexed="8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8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5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2" fontId="8" fillId="0" borderId="0" xfId="0" applyNumberFormat="1" applyFont="1" applyAlignment="1">
      <alignment horizontal="left" vertical="center"/>
    </xf>
    <xf numFmtId="8" fontId="9" fillId="0" borderId="0" xfId="0" applyNumberFormat="1" applyFont="1" applyAlignment="1">
      <alignment horizontal="right" vertical="center"/>
    </xf>
    <xf numFmtId="2" fontId="8" fillId="0" borderId="3" xfId="0" applyNumberFormat="1" applyFont="1" applyBorder="1" applyAlignment="1">
      <alignment horizontal="left" vertical="center"/>
    </xf>
    <xf numFmtId="8" fontId="9" fillId="0" borderId="3" xfId="0" applyNumberFormat="1" applyFont="1" applyBorder="1" applyAlignment="1">
      <alignment horizontal="right" vertical="center"/>
    </xf>
    <xf numFmtId="164" fontId="10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2" fontId="8" fillId="0" borderId="0" xfId="0" applyNumberFormat="1" applyFont="1" applyAlignment="1">
      <alignment horizontal="center"/>
    </xf>
    <xf numFmtId="14" fontId="6" fillId="4" borderId="7" xfId="0" applyNumberFormat="1" applyFont="1" applyFill="1" applyBorder="1" applyAlignment="1">
      <alignment horizontal="left" vertical="center" wrapText="1" readingOrder="1"/>
    </xf>
    <xf numFmtId="14" fontId="6" fillId="4" borderId="8" xfId="0" applyNumberFormat="1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center" vertical="center" wrapText="1" readingOrder="1"/>
    </xf>
    <xf numFmtId="1" fontId="6" fillId="4" borderId="8" xfId="0" applyNumberFormat="1" applyFont="1" applyFill="1" applyBorder="1" applyAlignment="1">
      <alignment horizontal="center" vertical="center" wrapText="1" readingOrder="1"/>
    </xf>
    <xf numFmtId="10" fontId="6" fillId="4" borderId="8" xfId="0" applyNumberFormat="1" applyFont="1" applyFill="1" applyBorder="1" applyAlignment="1">
      <alignment horizontal="center" vertical="center" wrapText="1" readingOrder="1"/>
    </xf>
    <xf numFmtId="164" fontId="6" fillId="4" borderId="9" xfId="0" applyNumberFormat="1" applyFont="1" applyFill="1" applyBorder="1" applyAlignment="1">
      <alignment horizontal="center" vertical="center" wrapText="1" readingOrder="1"/>
    </xf>
    <xf numFmtId="164" fontId="11" fillId="0" borderId="0" xfId="0" applyNumberFormat="1" applyFon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4" fontId="6" fillId="4" borderId="7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" fontId="13" fillId="6" borderId="10" xfId="0" applyNumberFormat="1" applyFont="1" applyFill="1" applyBorder="1" applyAlignment="1">
      <alignment horizontal="center" vertical="center"/>
    </xf>
    <xf numFmtId="164" fontId="13" fillId="6" borderId="1" xfId="0" applyNumberFormat="1" applyFont="1" applyFill="1" applyBorder="1" applyAlignment="1">
      <alignment horizontal="center" vertical="center"/>
    </xf>
    <xf numFmtId="0" fontId="16" fillId="0" borderId="0" xfId="7" applyFont="1" applyAlignment="1">
      <alignment horizontal="left"/>
    </xf>
    <xf numFmtId="0" fontId="16" fillId="0" borderId="0" xfId="7" applyFont="1"/>
    <xf numFmtId="0" fontId="15" fillId="0" borderId="0" xfId="7"/>
    <xf numFmtId="40" fontId="15" fillId="0" borderId="0" xfId="7" applyNumberFormat="1"/>
    <xf numFmtId="0" fontId="8" fillId="0" borderId="0" xfId="7" applyFont="1" applyAlignment="1">
      <alignment horizontal="center"/>
    </xf>
    <xf numFmtId="0" fontId="8" fillId="0" borderId="0" xfId="7" applyFont="1"/>
    <xf numFmtId="40" fontId="8" fillId="0" borderId="0" xfId="7" applyNumberFormat="1" applyFont="1" applyAlignment="1">
      <alignment horizontal="center"/>
    </xf>
    <xf numFmtId="0" fontId="8" fillId="0" borderId="11" xfId="7" applyFont="1" applyBorder="1" applyAlignment="1">
      <alignment horizontal="left"/>
    </xf>
    <xf numFmtId="0" fontId="8" fillId="0" borderId="11" xfId="7" applyFont="1" applyBorder="1" applyAlignment="1">
      <alignment horizontal="center"/>
    </xf>
    <xf numFmtId="40" fontId="8" fillId="0" borderId="11" xfId="7" applyNumberFormat="1" applyFont="1" applyBorder="1" applyAlignment="1">
      <alignment horizontal="center"/>
    </xf>
    <xf numFmtId="0" fontId="18" fillId="0" borderId="0" xfId="8" applyNumberFormat="1" applyAlignment="1" applyProtection="1">
      <alignment horizontal="left"/>
    </xf>
    <xf numFmtId="164" fontId="15" fillId="0" borderId="0" xfId="7" applyNumberFormat="1" applyAlignment="1">
      <alignment horizontal="center"/>
    </xf>
    <xf numFmtId="164" fontId="15" fillId="0" borderId="0" xfId="7" quotePrefix="1" applyNumberFormat="1" applyAlignment="1">
      <alignment horizontal="center"/>
    </xf>
    <xf numFmtId="164" fontId="15" fillId="0" borderId="0" xfId="6" applyNumberFormat="1" applyFont="1" applyAlignment="1" applyProtection="1">
      <alignment horizontal="center"/>
    </xf>
    <xf numFmtId="164" fontId="15" fillId="0" borderId="0" xfId="9" applyNumberFormat="1" applyFont="1" applyFill="1" applyAlignment="1" applyProtection="1">
      <alignment horizontal="center"/>
    </xf>
    <xf numFmtId="39" fontId="15" fillId="0" borderId="0" xfId="7" applyNumberFormat="1"/>
    <xf numFmtId="0" fontId="15" fillId="0" borderId="0" xfId="7" applyAlignment="1">
      <alignment horizontal="left"/>
    </xf>
    <xf numFmtId="164" fontId="8" fillId="2" borderId="0" xfId="7" applyNumberFormat="1" applyFont="1" applyFill="1" applyAlignment="1">
      <alignment horizontal="center"/>
    </xf>
    <xf numFmtId="164" fontId="16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9" xfId="0" applyNumberFormat="1" applyFont="1" applyFill="1" applyBorder="1" applyAlignment="1">
      <alignment horizontal="center" vertical="center" wrapText="1" readingOrder="1"/>
    </xf>
    <xf numFmtId="164" fontId="8" fillId="0" borderId="13" xfId="0" applyNumberFormat="1" applyFont="1" applyBorder="1" applyAlignment="1">
      <alignment horizontal="left" vertical="center"/>
    </xf>
    <xf numFmtId="164" fontId="2" fillId="0" borderId="13" xfId="0" applyNumberFormat="1" applyFont="1" applyBorder="1" applyAlignment="1">
      <alignment horizontal="right" vertical="center"/>
    </xf>
    <xf numFmtId="0" fontId="15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2" fontId="8" fillId="0" borderId="3" xfId="0" applyNumberFormat="1" applyFont="1" applyBorder="1" applyAlignment="1">
      <alignment horizontal="center" vertical="center" wrapText="1"/>
    </xf>
    <xf numFmtId="164" fontId="7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vertical="center"/>
    </xf>
    <xf numFmtId="164" fontId="6" fillId="4" borderId="8" xfId="0" applyNumberFormat="1" applyFont="1" applyFill="1" applyBorder="1" applyAlignment="1">
      <alignment horizontal="center" vertical="center" wrapText="1" readingOrder="1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7" xfId="10" applyNumberFormat="1" applyFont="1" applyFill="1" applyBorder="1" applyAlignment="1">
      <alignment horizontal="center" vertical="center" wrapText="1" readingOrder="1"/>
    </xf>
    <xf numFmtId="2" fontId="6" fillId="4" borderId="7" xfId="0" applyNumberFormat="1" applyFont="1" applyFill="1" applyBorder="1" applyAlignment="1">
      <alignment horizontal="center" vertical="center" wrapText="1" readingOrder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4" fontId="0" fillId="0" borderId="0" xfId="10" applyNumberFormat="1" applyFont="1" applyAlignment="1">
      <alignment horizontal="center" vertical="center"/>
    </xf>
    <xf numFmtId="164" fontId="2" fillId="0" borderId="0" xfId="0" applyNumberFormat="1" applyFont="1" applyAlignment="1">
      <alignment horizontal="right" vertical="center"/>
    </xf>
    <xf numFmtId="2" fontId="2" fillId="3" borderId="2" xfId="10" applyNumberFormat="1" applyFont="1" applyFill="1" applyBorder="1" applyAlignment="1">
      <alignment horizontal="center" vertical="center"/>
    </xf>
    <xf numFmtId="164" fontId="6" fillId="4" borderId="7" xfId="0" applyNumberFormat="1" applyFont="1" applyFill="1" applyBorder="1" applyAlignment="1">
      <alignment horizontal="center" vertical="center" wrapText="1" readingOrder="1"/>
    </xf>
    <xf numFmtId="14" fontId="6" fillId="4" borderId="17" xfId="0" applyNumberFormat="1" applyFont="1" applyFill="1" applyBorder="1" applyAlignment="1">
      <alignment horizontal="left" vertical="center" wrapText="1" readingOrder="1"/>
    </xf>
    <xf numFmtId="14" fontId="6" fillId="4" borderId="18" xfId="0" applyNumberFormat="1" applyFont="1" applyFill="1" applyBorder="1" applyAlignment="1">
      <alignment horizontal="center" vertical="center" wrapText="1" readingOrder="1"/>
    </xf>
    <xf numFmtId="0" fontId="6" fillId="4" borderId="18" xfId="0" applyFont="1" applyFill="1" applyBorder="1" applyAlignment="1">
      <alignment horizontal="center" vertical="center" wrapText="1" readingOrder="1"/>
    </xf>
    <xf numFmtId="10" fontId="6" fillId="4" borderId="18" xfId="10" applyNumberFormat="1" applyFont="1" applyFill="1" applyBorder="1" applyAlignment="1">
      <alignment horizontal="center" vertical="center" wrapText="1" readingOrder="1"/>
    </xf>
    <xf numFmtId="1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9" xfId="0" applyNumberFormat="1" applyFont="1" applyFill="1" applyBorder="1" applyAlignment="1">
      <alignment horizontal="center" vertical="center" wrapText="1" readingOrder="1"/>
    </xf>
    <xf numFmtId="14" fontId="6" fillId="4" borderId="9" xfId="0" applyNumberFormat="1" applyFont="1" applyFill="1" applyBorder="1" applyAlignment="1">
      <alignment horizontal="center" vertical="center" wrapText="1" readingOrder="1"/>
    </xf>
    <xf numFmtId="164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164" fontId="15" fillId="0" borderId="0" xfId="7" applyNumberFormat="1"/>
    <xf numFmtId="2" fontId="0" fillId="0" borderId="0" xfId="0" applyNumberFormat="1" applyAlignment="1">
      <alignment vertical="center"/>
    </xf>
    <xf numFmtId="14" fontId="6" fillId="4" borderId="17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7" fillId="0" borderId="0" xfId="7" applyFont="1"/>
    <xf numFmtId="7" fontId="0" fillId="0" borderId="0" xfId="0" applyNumberFormat="1" applyAlignment="1">
      <alignment vertical="center"/>
    </xf>
    <xf numFmtId="2" fontId="8" fillId="0" borderId="3" xfId="0" applyNumberFormat="1" applyFont="1" applyBorder="1" applyAlignment="1">
      <alignment horizontal="center" wrapText="1"/>
    </xf>
    <xf numFmtId="0" fontId="0" fillId="0" borderId="0" xfId="0" pivotButton="1"/>
    <xf numFmtId="165" fontId="0" fillId="0" borderId="0" xfId="11" applyNumberFormat="1" applyFont="1"/>
    <xf numFmtId="0" fontId="0" fillId="0" borderId="23" xfId="0" applyBorder="1"/>
    <xf numFmtId="0" fontId="0" fillId="0" borderId="24" xfId="0" applyBorder="1"/>
    <xf numFmtId="0" fontId="0" fillId="0" borderId="2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26" xfId="0" applyBorder="1"/>
    <xf numFmtId="0" fontId="0" fillId="0" borderId="22" xfId="0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0" borderId="29" xfId="0" applyBorder="1" applyAlignment="1">
      <alignment horizontal="center"/>
    </xf>
    <xf numFmtId="165" fontId="0" fillId="0" borderId="0" xfId="11" applyNumberFormat="1" applyFont="1" applyFill="1" applyAlignment="1">
      <alignment horizontal="center"/>
    </xf>
    <xf numFmtId="165" fontId="0" fillId="0" borderId="0" xfId="11" applyNumberFormat="1" applyFont="1" applyFill="1"/>
    <xf numFmtId="1" fontId="0" fillId="0" borderId="27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0" fontId="0" fillId="0" borderId="24" xfId="0" applyBorder="1" applyAlignment="1">
      <alignment wrapText="1"/>
    </xf>
    <xf numFmtId="9" fontId="0" fillId="0" borderId="24" xfId="10" applyFont="1" applyBorder="1" applyAlignment="1">
      <alignment horizontal="center"/>
    </xf>
    <xf numFmtId="9" fontId="0" fillId="0" borderId="22" xfId="10" applyFont="1" applyBorder="1" applyAlignment="1">
      <alignment horizontal="center"/>
    </xf>
    <xf numFmtId="9" fontId="0" fillId="0" borderId="29" xfId="10" applyFont="1" applyBorder="1" applyAlignment="1">
      <alignment horizontal="center"/>
    </xf>
    <xf numFmtId="0" fontId="17" fillId="7" borderId="0" xfId="7" applyFont="1" applyFill="1" applyAlignment="1">
      <alignment horizontal="center"/>
    </xf>
    <xf numFmtId="0" fontId="17" fillId="8" borderId="0" xfId="7" applyFont="1" applyFill="1" applyAlignment="1">
      <alignment horizontal="center"/>
    </xf>
    <xf numFmtId="0" fontId="20" fillId="9" borderId="12" xfId="7" applyFont="1" applyFill="1" applyBorder="1" applyAlignment="1">
      <alignment horizontal="center"/>
    </xf>
    <xf numFmtId="0" fontId="8" fillId="0" borderId="0" xfId="7" applyFont="1" applyAlignment="1">
      <alignment horizontal="center"/>
    </xf>
    <xf numFmtId="0" fontId="14" fillId="5" borderId="0" xfId="0" applyFont="1" applyFill="1" applyAlignment="1">
      <alignment horizontal="left" vertical="center"/>
    </xf>
    <xf numFmtId="2" fontId="2" fillId="4" borderId="14" xfId="0" applyNumberFormat="1" applyFont="1" applyFill="1" applyBorder="1" applyAlignment="1">
      <alignment horizontal="center" vertical="center"/>
    </xf>
    <xf numFmtId="2" fontId="2" fillId="4" borderId="15" xfId="0" applyNumberFormat="1" applyFont="1" applyFill="1" applyBorder="1" applyAlignment="1">
      <alignment horizontal="center" vertical="center"/>
    </xf>
    <xf numFmtId="2" fontId="2" fillId="4" borderId="16" xfId="0" applyNumberFormat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wrapText="1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47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alignment horizontal="general" vertical="bottom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5BFAE350-16C2-4C2F-B059-34B35A71000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A%20CORP%20INVOICING\9%20AZ\AUTOMATIONS\VDP%20AUTOMATION\VDP_DIV9%20AUTOMATION.xlsm" TargetMode="External"/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0%20OR\AUTOMATION\VDP%20AUTOMATION\VDP-DIV10%20AUTOMATION%20-%20New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99.40165162037" createdVersion="8" refreshedVersion="8" minRefreshableVersion="3" recordCount="10" xr:uid="{492C9D3A-18D3-4A6B-BF79-3EBAF47C3470}">
  <cacheSource type="worksheet">
    <worksheetSource name="SumVDPMVReport"/>
  </cacheSource>
  <cacheFields count="62">
    <cacheField name="WeekN" numFmtId="0">
      <sharedItems containsBlank="1" count="3">
        <s v="Week1"/>
        <s v="Week2"/>
        <m u="1"/>
      </sharedItems>
    </cacheField>
    <cacheField name="Allowable Hours" numFmtId="0">
      <sharedItems containsSemiMixedTypes="0" containsString="0" containsNumber="1" containsInteger="1" minValue="50" maxValue="220"/>
    </cacheField>
    <cacheField name="Online Hours" numFmtId="0">
      <sharedItems containsSemiMixedTypes="0" containsString="0" containsNumber="1" minValue="12.93" maxValue="223.76000000000002" count="51">
        <n v="50.15"/>
        <n v="220.63999999999996"/>
        <n v="201.35000000000002"/>
        <n v="40.46"/>
        <n v="101.46000000000001"/>
        <n v="50.01"/>
        <n v="220.75"/>
        <n v="203.66000000000003"/>
        <n v="12.93"/>
        <n v="106.31"/>
        <n v="50" u="1"/>
        <n v="208.62" u="1"/>
        <n v="223.76000000000002" u="1"/>
        <n v="25.8" u="1"/>
        <n v="104.2" u="1"/>
        <n v="50.45" u="1"/>
        <n v="221.45" u="1"/>
        <n v="206.96" u="1"/>
        <n v="50.050000000000004" u="1"/>
        <n v="99.48" u="1"/>
        <n v="23.63" u="1"/>
        <n v="209.74" u="1"/>
        <n v="190.32" u="1"/>
        <n v="50.22" u="1"/>
        <n v="83.74" u="1"/>
        <n v="24.35" u="1"/>
        <n v="221.13" u="1"/>
        <n v="205.48" u="1"/>
        <n v="26.38" u="1"/>
        <n v="106.97" u="1"/>
        <n v="50.03" u="1"/>
        <n v="211.94000000000003" u="1"/>
        <n v="176.70999999999998" u="1"/>
        <n v="45.440000000000005" u="1"/>
        <n v="96.74" u="1"/>
        <n v="40.159999999999997" u="1"/>
        <n v="222.6" u="1"/>
        <n v="210.14000000000001" u="1"/>
        <n v="30.709999999999997" u="1"/>
        <n v="55.01" u="1"/>
        <n v="50.79" u="1"/>
        <n v="57" u="1"/>
        <n v="201.66" u="1"/>
        <n v="216.95" u="1"/>
        <n v="47.35" u="1"/>
        <n v="78.650000000000006" u="1"/>
        <n v="50.32" u="1"/>
        <n v="184.95" u="1"/>
        <n v="216.85999999999999" u="1"/>
        <n v="26.37" u="1"/>
        <n v="88.03" u="1"/>
      </sharedItems>
    </cacheField>
    <cacheField name="Payable Normal Hours" numFmtId="0">
      <sharedItems containsSemiMixedTypes="0" containsString="0" containsNumber="1" minValue="12.93" maxValue="140" count="20">
        <n v="50"/>
        <n v="140"/>
        <n v="40.46"/>
        <n v="70"/>
        <n v="12.93"/>
        <n v="25.8" u="1"/>
        <n v="50.050000000000004" u="1"/>
        <n v="23.63" u="1"/>
        <n v="50.22" u="1"/>
        <n v="24.35" u="1"/>
        <n v="26.38" u="1"/>
        <n v="45.440000000000005" u="1"/>
        <n v="40.159999999999997" u="1"/>
        <n v="30.709999999999997" u="1"/>
        <n v="55.01" u="1"/>
        <n v="50.03" u="1"/>
        <n v="50.79" u="1"/>
        <n v="57" u="1"/>
        <n v="47.35" u="1"/>
        <n v="26.37" u="1"/>
      </sharedItems>
    </cacheField>
    <cacheField name="Payable Bonus Hours" numFmtId="0">
      <sharedItems containsSemiMixedTypes="0" containsString="0" containsNumber="1" minValue="0" maxValue="80" count="32">
        <n v="0"/>
        <n v="80"/>
        <n v="61.350000000000023"/>
        <n v="31"/>
        <n v="63.660000000000025"/>
        <n v="36"/>
        <n v="30" u="1"/>
        <n v="68.62" u="1"/>
        <n v="34.200000000000003" u="1"/>
        <n v="66.960000000000008" u="1"/>
        <n v="29.480000000000004" u="1"/>
        <n v="40" u="1"/>
        <n v="70" u="1"/>
        <n v="15" u="1"/>
        <n v="65" u="1"/>
        <n v="69.740000000000009" u="1"/>
        <n v="50.319999999999993" u="1"/>
        <n v="13.739999999999995" u="1"/>
        <n v="65.47999999999999" u="1"/>
        <n v="36.97" u="1"/>
        <n v="71.940000000000026" u="1"/>
        <n v="36.70999999999998" u="1"/>
        <n v="26.739999999999995" u="1"/>
        <n v="20" u="1"/>
        <n v="10" u="1"/>
        <n v="50" u="1"/>
        <n v="61" u="1"/>
        <n v="76.949999999999989" u="1"/>
        <n v="8.6500000000000057" u="1"/>
        <n v="44.949999999999989" u="1"/>
        <n v="76.859999999999985" u="1"/>
        <n v="18.03" u="1"/>
      </sharedItems>
    </cacheField>
    <cacheField name="% of Hours to Required" numFmtId="0">
      <sharedItems containsSemiMixedTypes="0" containsString="0" containsNumber="1" minValue="0.2586" maxValue="1"/>
    </cacheField>
    <cacheField name="Core Hours Rev" numFmtId="0">
      <sharedItems containsSemiMixedTypes="0" containsString="0" containsNumber="1" minValue="0" maxValue="2866.5"/>
    </cacheField>
    <cacheField name="Bonus Hours Rev" numFmtId="0">
      <sharedItems containsSemiMixedTypes="0" containsString="0" containsNumber="1" minValue="0" maxValue="2132"/>
    </cacheField>
    <cacheField name="CHI Tier 1 Rev" numFmtId="0">
      <sharedItems containsSemiMixedTypes="0" containsString="0" containsNumber="1" minValue="0" maxValue="1538.0000000000002"/>
    </cacheField>
    <cacheField name="CHI Tier 2 Rev" numFmtId="0">
      <sharedItems containsSemiMixedTypes="0" containsString="0" containsNumber="1" minValue="0" maxValue="703.8524000000001"/>
    </cacheField>
    <cacheField name="CHI Tier 3 Rev" numFmtId="0">
      <sharedItems containsSemiMixedTypes="0" containsString="0" containsNumber="1" minValue="0" maxValue="347.14450000000005"/>
    </cacheField>
    <cacheField name="Acceptance Rate" numFmtId="0">
      <sharedItems containsSemiMixedTypes="0" containsString="0" containsNumber="1" minValue="0.91346153846153799" maxValue="1"/>
    </cacheField>
    <cacheField name="Cancellation Rate" numFmtId="0">
      <sharedItems containsSemiMixedTypes="0" containsString="0" containsNumber="1" minValue="5.40540540540541E-3" maxValue="3.90625E-2"/>
    </cacheField>
    <cacheField name="Tier 1 ARDCRI KPI Rev" numFmtId="0">
      <sharedItems containsSemiMixedTypes="0" containsString="0" containsNumber="1" minValue="0" maxValue="769"/>
    </cacheField>
    <cacheField name="Tier 2 ARDCRI KPI Rev" numFmtId="0">
      <sharedItems containsSemiMixedTypes="0" containsString="0" containsNumber="1" containsInteger="1" minValue="0" maxValue="0"/>
    </cacheField>
    <cacheField name="Utilization%" numFmtId="0">
      <sharedItems containsSemiMixedTypes="0" containsString="0" containsNumber="1" minValue="0.72570703408266901" maxValue="0.99226604795050299"/>
    </cacheField>
    <cacheField name="Utilization Rev" numFmtId="0">
      <sharedItems containsSemiMixedTypes="0" containsString="0" containsNumber="1" minValue="0" maxValue="384.5"/>
    </cacheField>
    <cacheField name="Driver Tips" numFmtId="0">
      <sharedItems containsSemiMixedTypes="0" containsString="0" containsNumber="1" minValue="36.81" maxValue="225.62"/>
    </cacheField>
    <cacheField name="Tolls" numFmtId="0">
      <sharedItems containsSemiMixedTypes="0" containsString="0" containsNumber="1" minValue="0" maxValue="2.15"/>
    </cacheField>
    <cacheField name="CHI Non-KPI" numFmtId="0">
      <sharedItems containsSemiMixedTypes="0" containsString="0" containsNumber="1" minValue="0" maxValue="839.33"/>
    </cacheField>
    <cacheField name="Total Rev" numFmtId="0">
      <sharedItems containsSemiMixedTypes="0" containsString="0" containsNumber="1" minValue="302.39" maxValue="7915.62"/>
    </cacheField>
    <cacheField name="Payable Online Hours" numFmtId="0">
      <sharedItems containsSemiMixedTypes="0" containsString="0" containsNumber="1" minValue="12.93" maxValue="220"/>
    </cacheField>
    <cacheField name="Required" numFmtId="0">
      <sharedItems containsSemiMixedTypes="0" containsString="0" containsNumber="1" containsInteger="1" minValue="50" maxValue="220"/>
    </cacheField>
    <cacheField name="CHI Rev" numFmtId="0">
      <sharedItems containsSemiMixedTypes="0" containsString="0" containsNumber="1" minValue="0" maxValue="1538"/>
    </cacheField>
    <cacheField name="Total Expired Offers" numFmtId="0">
      <sharedItems containsSemiMixedTypes="0" containsString="0" containsNumber="1" containsInteger="1" minValue="0" maxValue="14"/>
    </cacheField>
    <cacheField name="Tier 1 ARDCRI KPI" numFmtId="0">
      <sharedItems containsSemiMixedTypes="0" containsString="0" containsNumber="1" minValue="0" maxValue="220"/>
    </cacheField>
    <cacheField name="Tier 2 ARDCRI KPI" numFmtId="0">
      <sharedItems containsSemiMixedTypes="0" containsString="0" containsNumber="1" containsInteger="1" minValue="0" maxValue="0"/>
    </cacheField>
    <cacheField name="Total ARDCRI KPI Rev" numFmtId="0">
      <sharedItems containsSemiMixedTypes="0" containsString="0" containsNumber="1" minValue="0" maxValue="769"/>
    </cacheField>
    <cacheField name="Approved Extra Hours" numFmtId="0">
      <sharedItems containsSemiMixedTypes="0" containsString="0" containsNumber="1" containsInteger="1" minValue="0" maxValue="6"/>
    </cacheField>
    <cacheField name="Week" numFmtId="14">
      <sharedItems containsSemiMixedTypes="0" containsNonDate="0" containsDate="1" containsString="0" minDate="2025-01-13T00:00:00" maxDate="2025-01-21T00:00:00"/>
    </cacheField>
    <cacheField name="PARTNER NAME" numFmtId="0">
      <sharedItems containsBlank="1" count="6">
        <s v="BEYOND EXPRESS"/>
        <s v="DIRECT TRANSIT LLC"/>
        <s v="CIRCLE TRANSIT"/>
        <s v="DEAN LOGISTICS SOLUTIONS LLC"/>
        <s v="Q-TELL TRANSIT LLC"/>
        <m u="1"/>
      </sharedItems>
    </cacheField>
    <cacheField name="Total Comp Trips" numFmtId="0">
      <sharedItems containsSemiMixedTypes="0" containsString="0" containsNumber="1" containsInteger="1" minValue="30" maxValue="398"/>
    </cacheField>
    <cacheField name="Total Supply Hours" numFmtId="0">
      <sharedItems containsSemiMixedTypes="0" containsString="0" containsNumber="1" minValue="12.93" maxValue="220.98"/>
    </cacheField>
    <cacheField name="Paused Hours" numFmtId="0">
      <sharedItems containsSemiMixedTypes="0" containsString="0" containsNumber="1" minValue="0" maxValue="7.7299999999999995"/>
    </cacheField>
    <cacheField name="WAV Trips" numFmtId="0">
      <sharedItems containsSemiMixedTypes="0" containsString="0" containsNumber="1" containsInteger="1" minValue="6" maxValue="58"/>
    </cacheField>
    <cacheField name="Non WAV Trips" numFmtId="0">
      <sharedItems containsSemiMixedTypes="0" containsString="0" containsNumber="1" containsInteger="1" minValue="24" maxValue="352"/>
    </cacheField>
    <cacheField name="Utilized Hours" numFmtId="0">
      <sharedItems containsSemiMixedTypes="0" containsString="0" containsNumber="1" minValue="12.83" maxValue="180.32"/>
    </cacheField>
    <cacheField name="Open Hours" numFmtId="0">
      <sharedItems containsSemiMixedTypes="0" containsString="0" containsNumber="1" minValue="0.09" maxValue="60.52"/>
    </cacheField>
    <cacheField name="Core Total Supply Hours" numFmtId="0">
      <sharedItems containsSemiMixedTypes="0" containsString="0" containsNumber="1" minValue="9.43" maxValue="83.39"/>
    </cacheField>
    <cacheField name="Core Utilized Hours" numFmtId="0">
      <sharedItems containsSemiMixedTypes="0" containsString="0" containsNumber="1" minValue="9.3800000000000008" maxValue="75.55"/>
    </cacheField>
    <cacheField name="Trips Per Hours" numFmtId="0">
      <sharedItems containsSemiMixedTypes="0" containsString="0" containsNumber="1" minValue="2.06" maxValue="13.02"/>
    </cacheField>
    <cacheField name="Total Accepts" numFmtId="0">
      <sharedItems containsSemiMixedTypes="0" containsString="0" containsNumber="1" containsInteger="1" minValue="31" maxValue="449"/>
    </cacheField>
    <cacheField name="Total Rejects" numFmtId="0">
      <sharedItems containsSemiMixedTypes="0" containsString="0" containsNumber="1" containsInteger="1" minValue="0" maxValue="11"/>
    </cacheField>
    <cacheField name="Total Cancels" numFmtId="0">
      <sharedItems containsSemiMixedTypes="0" containsString="0" containsNumber="1" containsInteger="1" minValue="1" maxValue="7"/>
    </cacheField>
    <cacheField name="KPI Hours" numFmtId="0">
      <sharedItems containsSemiMixedTypes="0" containsString="0" containsNumber="1" minValue="12.93" maxValue="194.91999999999996"/>
    </cacheField>
    <cacheField name="Fuel Rate" numFmtId="0">
      <sharedItems containsNonDate="0" containsString="0" containsBlank="1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1.45" maxValue="31.5"/>
    </cacheField>
    <cacheField name="Bonus Rate" numFmtId="0">
      <sharedItems containsSemiMixedTypes="0" containsString="0" containsNumber="1" minValue="41" maxValue="41.4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70" maxValue="140"/>
    </cacheField>
    <cacheField name="ARDCRI Non KPI" numFmtId="0">
      <sharedItems containsSemiMixedTypes="0" containsString="0" containsNumber="1" containsInteger="1" minValue="0" maxValue="101"/>
    </cacheField>
    <cacheField name="Driver Earnings Excl Tips" numFmtId="0">
      <sharedItems containsSemiMixedTypes="0" containsString="0" containsNumber="1" minValue="265.58" maxValue="4134.78999999999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50"/>
    <x v="0"/>
    <x v="0"/>
    <x v="0"/>
    <n v="1"/>
    <n v="1022.125"/>
    <n v="0"/>
    <n v="314.5"/>
    <n v="0"/>
    <n v="0"/>
    <n v="1"/>
    <n v="2.3076923076923099E-2"/>
    <n v="157.25"/>
    <n v="0"/>
    <n v="0.96570289132602205"/>
    <n v="78.625"/>
    <n v="53.35"/>
    <n v="0"/>
    <n v="0"/>
    <n v="1625.85"/>
    <n v="50"/>
    <n v="50"/>
    <n v="314.5"/>
    <n v="0"/>
    <n v="50"/>
    <n v="0"/>
    <n v="157.25"/>
    <n v="0"/>
    <d v="2025-01-13T00:00:00"/>
    <x v="0"/>
    <n v="111"/>
    <n v="50.15"/>
    <n v="0"/>
    <n v="11"/>
    <n v="100"/>
    <n v="48.43"/>
    <n v="1.72"/>
    <n v="10.34"/>
    <n v="10.08"/>
    <n v="2.21"/>
    <n v="130"/>
    <n v="0"/>
    <n v="3"/>
    <n v="50.15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019.9"/>
  </r>
  <r>
    <x v="0"/>
    <n v="220"/>
    <x v="1"/>
    <x v="1"/>
    <x v="1"/>
    <n v="1"/>
    <n v="2866.5"/>
    <n v="2132"/>
    <n v="1538.0000000000002"/>
    <n v="0"/>
    <n v="0"/>
    <n v="0.99206349206349198"/>
    <n v="1.0666666666666699E-2"/>
    <n v="769"/>
    <n v="0"/>
    <n v="0.72570703408266901"/>
    <n v="384.5"/>
    <n v="118.37"/>
    <n v="0"/>
    <n v="0"/>
    <n v="7808.37"/>
    <n v="220"/>
    <n v="220"/>
    <n v="1538"/>
    <n v="1"/>
    <n v="220"/>
    <n v="0"/>
    <n v="769"/>
    <n v="0"/>
    <d v="2025-01-13T00:00:00"/>
    <x v="1"/>
    <n v="332"/>
    <n v="220.91999999999996"/>
    <n v="0.27999999999999997"/>
    <n v="46"/>
    <n v="286"/>
    <n v="160.12"/>
    <n v="60.52"/>
    <n v="67.59"/>
    <n v="60.82"/>
    <n v="10.409999999999998"/>
    <n v="375"/>
    <n v="2"/>
    <n v="4"/>
    <n v="194.91999999999996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3110.409999999998"/>
  </r>
  <r>
    <x v="0"/>
    <n v="210"/>
    <x v="2"/>
    <x v="1"/>
    <x v="2"/>
    <n v="0.958809523809524"/>
    <n v="2861.95"/>
    <n v="1650.9285"/>
    <n v="0"/>
    <n v="0"/>
    <n v="347.14450000000005"/>
    <n v="0.96543209876543201"/>
    <n v="1.5345268542199499E-2"/>
    <n v="694.28899999999999"/>
    <n v="0"/>
    <n v="0.86858703749689603"/>
    <n v="347.14449999999999"/>
    <n v="98.89"/>
    <n v="2.0499999999999998"/>
    <n v="0"/>
    <n v="6002.3964999999998"/>
    <n v="201.35000000000002"/>
    <n v="210"/>
    <n v="347.14449999999999"/>
    <n v="14"/>
    <n v="201.35000000000002"/>
    <n v="0"/>
    <n v="694.28899999999999"/>
    <n v="0"/>
    <d v="2025-01-13T00:00:00"/>
    <x v="2"/>
    <n v="349"/>
    <n v="209.08"/>
    <n v="7.7299999999999995"/>
    <n v="58"/>
    <n v="291"/>
    <n v="174.89000000000001"/>
    <n v="26.439999999999994"/>
    <n v="83.39"/>
    <n v="75.55"/>
    <n v="11.430000000000001"/>
    <n v="391"/>
    <n v="0"/>
    <n v="6"/>
    <n v="80.19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3770.1899999999969"/>
  </r>
  <r>
    <x v="0"/>
    <n v="50"/>
    <x v="3"/>
    <x v="2"/>
    <x v="0"/>
    <n v="0.80920000000000003"/>
    <n v="0"/>
    <n v="0"/>
    <n v="0"/>
    <n v="0"/>
    <n v="0"/>
    <n v="0.95327102803738295"/>
    <n v="1.9607843137254902E-2"/>
    <n v="0"/>
    <n v="0"/>
    <n v="0.90336134453781503"/>
    <n v="0"/>
    <n v="67.069999999999993"/>
    <n v="1.5"/>
    <n v="839.33"/>
    <n v="907.9"/>
    <n v="40.46"/>
    <n v="50"/>
    <n v="0"/>
    <n v="0"/>
    <n v="40.46"/>
    <n v="0"/>
    <n v="0"/>
    <n v="0"/>
    <d v="2025-01-13T00:00:00"/>
    <x v="3"/>
    <n v="84"/>
    <n v="40.79"/>
    <n v="0.33"/>
    <n v="13"/>
    <n v="71"/>
    <n v="36.549999999999997"/>
    <n v="3.91"/>
    <n v="14.73"/>
    <n v="14.27"/>
    <n v="2.06"/>
    <n v="102"/>
    <n v="5"/>
    <n v="2"/>
    <n v="40.46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839.33"/>
  </r>
  <r>
    <x v="0"/>
    <n v="101"/>
    <x v="4"/>
    <x v="3"/>
    <x v="3"/>
    <n v="1"/>
    <n v="1430.9749999999999"/>
    <n v="834.21"/>
    <n v="696.98"/>
    <n v="0"/>
    <n v="0"/>
    <n v="0.91346153846153799"/>
    <n v="2.6315789473684199E-2"/>
    <n v="0"/>
    <n v="0"/>
    <n v="0.79114922136802701"/>
    <n v="174.245"/>
    <n v="102.74"/>
    <n v="2.15"/>
    <n v="0"/>
    <n v="3241.3"/>
    <n v="101"/>
    <n v="100"/>
    <n v="696.98"/>
    <n v="7"/>
    <n v="0"/>
    <n v="0"/>
    <n v="0"/>
    <n v="1"/>
    <d v="2025-01-13T00:00:00"/>
    <x v="4"/>
    <n v="165"/>
    <n v="102.72"/>
    <n v="1.26"/>
    <n v="29"/>
    <n v="136"/>
    <n v="80.27"/>
    <n v="21.18"/>
    <n v="46.52"/>
    <n v="38.79"/>
    <n v="4.71"/>
    <n v="190"/>
    <n v="11"/>
    <n v="5"/>
    <n v="38.660000000000004"/>
    <m/>
    <n v="0.1"/>
    <n v="0.05"/>
    <n v="0.7"/>
    <n v="31.45"/>
    <n v="41.4"/>
    <n v="0.65"/>
    <n v="0.98"/>
    <n v="0.96"/>
    <n v="0.94"/>
    <n v="0.2"/>
    <n v="0.1"/>
    <n v="0.05"/>
    <n v="0.05"/>
    <n v="70"/>
    <n v="101"/>
    <n v="1728.0199999999979"/>
  </r>
  <r>
    <x v="1"/>
    <n v="50"/>
    <x v="5"/>
    <x v="0"/>
    <x v="0"/>
    <n v="1"/>
    <n v="1022.125"/>
    <n v="0"/>
    <n v="314.5"/>
    <n v="0"/>
    <n v="0"/>
    <n v="0.99224806201550397"/>
    <n v="3.90625E-2"/>
    <n v="157.25"/>
    <n v="0"/>
    <n v="0.96600679864027195"/>
    <n v="78.625"/>
    <n v="68.06"/>
    <n v="0"/>
    <n v="0"/>
    <n v="1640.56"/>
    <n v="50"/>
    <n v="50"/>
    <n v="314.5"/>
    <n v="0"/>
    <n v="50"/>
    <n v="0"/>
    <n v="157.25"/>
    <n v="0"/>
    <d v="2025-01-20T00:00:00"/>
    <x v="0"/>
    <n v="107"/>
    <n v="50.01"/>
    <n v="0"/>
    <n v="8"/>
    <n v="99"/>
    <n v="48.31"/>
    <n v="1.69"/>
    <n v="10.45"/>
    <n v="10.210000000000001"/>
    <n v="2.14"/>
    <n v="128"/>
    <n v="1"/>
    <n v="5"/>
    <n v="50.01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030.8699999999999"/>
  </r>
  <r>
    <x v="1"/>
    <n v="220"/>
    <x v="6"/>
    <x v="1"/>
    <x v="1"/>
    <n v="1"/>
    <n v="2866.5"/>
    <n v="2132"/>
    <n v="1538.0000000000002"/>
    <n v="0"/>
    <n v="0"/>
    <n v="0.99556541019955602"/>
    <n v="1.1135857461024501E-2"/>
    <n v="769"/>
    <n v="0"/>
    <n v="0.73775764439411096"/>
    <n v="384.5"/>
    <n v="225.62"/>
    <n v="0"/>
    <n v="0"/>
    <n v="7915.62"/>
    <n v="220"/>
    <n v="220"/>
    <n v="1538"/>
    <n v="1"/>
    <n v="220"/>
    <n v="0"/>
    <n v="769"/>
    <n v="0"/>
    <d v="2025-01-20T00:00:00"/>
    <x v="1"/>
    <n v="395"/>
    <n v="220.98"/>
    <n v="0.23"/>
    <n v="58"/>
    <n v="337"/>
    <n v="162.86000000000001"/>
    <n v="57.89"/>
    <n v="67.569999999999993"/>
    <n v="52.03"/>
    <n v="10.590000000000002"/>
    <n v="449"/>
    <n v="1"/>
    <n v="5"/>
    <n v="174.75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3506.2199999999975"/>
  </r>
  <r>
    <x v="1"/>
    <n v="210"/>
    <x v="7"/>
    <x v="1"/>
    <x v="4"/>
    <n v="0.96980952380952401"/>
    <n v="2861.95"/>
    <n v="1713.0906"/>
    <n v="0"/>
    <n v="703.8524000000001"/>
    <n v="0"/>
    <n v="0.98210290827740498"/>
    <n v="1.5945330296127599E-2"/>
    <n v="703.85239999999999"/>
    <n v="0"/>
    <n v="0.885397230678582"/>
    <n v="351.92619999999999"/>
    <n v="146.08000000000001"/>
    <n v="0"/>
    <n v="0"/>
    <n v="6480.7515999999996"/>
    <n v="203.66000000000003"/>
    <n v="210"/>
    <n v="703.85239999999999"/>
    <n v="7"/>
    <n v="203.66000000000003"/>
    <n v="0"/>
    <n v="703.85239999999999"/>
    <n v="0"/>
    <d v="2025-01-20T00:00:00"/>
    <x v="2"/>
    <n v="398"/>
    <n v="210.48000000000002"/>
    <n v="6.8199999999999994"/>
    <n v="46"/>
    <n v="352"/>
    <n v="180.32"/>
    <n v="23.34"/>
    <n v="82.88"/>
    <n v="73.649999999999991"/>
    <n v="13.02"/>
    <n v="439"/>
    <n v="1"/>
    <n v="7"/>
    <n v="183.42000000000002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4134.7899999999972"/>
  </r>
  <r>
    <x v="1"/>
    <n v="50"/>
    <x v="8"/>
    <x v="4"/>
    <x v="0"/>
    <n v="0.2586"/>
    <n v="0"/>
    <n v="0"/>
    <n v="0"/>
    <n v="0"/>
    <n v="0"/>
    <n v="0.96875"/>
    <n v="3.2258064516128997E-2"/>
    <n v="0"/>
    <n v="0"/>
    <n v="0.99226604795050299"/>
    <n v="0"/>
    <n v="36.81"/>
    <n v="0"/>
    <n v="265.58"/>
    <n v="302.39"/>
    <n v="12.93"/>
    <n v="50"/>
    <n v="0"/>
    <n v="0"/>
    <n v="12.93"/>
    <n v="0"/>
    <n v="0"/>
    <n v="0"/>
    <d v="2025-01-20T00:00:00"/>
    <x v="3"/>
    <n v="30"/>
    <n v="12.93"/>
    <n v="0"/>
    <n v="6"/>
    <n v="24"/>
    <n v="12.83"/>
    <n v="0.09"/>
    <n v="9.43"/>
    <n v="9.3800000000000008"/>
    <n v="2.3199999999999998"/>
    <n v="31"/>
    <n v="1"/>
    <n v="1"/>
    <n v="12.93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265.58"/>
  </r>
  <r>
    <x v="1"/>
    <n v="106"/>
    <x v="9"/>
    <x v="3"/>
    <x v="5"/>
    <n v="1"/>
    <n v="1430.9749999999999"/>
    <n v="968.76"/>
    <n v="738.38"/>
    <n v="0"/>
    <n v="0"/>
    <n v="0.95360824742268002"/>
    <n v="5.40540540540541E-3"/>
    <n v="369.19"/>
    <n v="0"/>
    <n v="0.73182202991251999"/>
    <n v="184.595"/>
    <n v="77.3"/>
    <n v="0"/>
    <n v="0"/>
    <n v="3769.2"/>
    <n v="106"/>
    <n v="100"/>
    <n v="738.38"/>
    <n v="8"/>
    <n v="106"/>
    <n v="0"/>
    <n v="369.19"/>
    <n v="6"/>
    <d v="2025-01-20T00:00:00"/>
    <x v="4"/>
    <n v="169"/>
    <n v="107"/>
    <n v="0.69"/>
    <n v="23"/>
    <n v="146"/>
    <n v="77.800000000000011"/>
    <n v="28.490000000000002"/>
    <n v="50.94"/>
    <n v="35.94"/>
    <n v="4.71"/>
    <n v="185"/>
    <n v="1"/>
    <n v="1"/>
    <n v="81.88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695.10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1C5E92-8B47-4798-BA95-DDDC5AD5AAD8}" name="PivotTable1" cacheId="9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E14" firstHeaderRow="1" firstDataRow="1" firstDataCol="5"/>
  <pivotFields count="62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1">
        <item m="1" x="49"/>
        <item m="1" x="44"/>
        <item m="1" x="46"/>
        <item m="1" x="41"/>
        <item m="1" x="45"/>
        <item m="1" x="50"/>
        <item m="1" x="47"/>
        <item m="1" x="42"/>
        <item m="1" x="48"/>
        <item m="1" x="43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40"/>
        <item m="1" x="3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m="1" x="19"/>
        <item m="1" x="18"/>
        <item x="0"/>
        <item m="1" x="17"/>
        <item x="3"/>
        <item x="1"/>
        <item m="1" x="15"/>
        <item m="1" x="11"/>
        <item m="1" x="12"/>
        <item m="1" x="13"/>
        <item m="1" x="16"/>
        <item m="1" x="14"/>
        <item m="1" x="7"/>
        <item m="1" x="8"/>
        <item m="1" x="9"/>
        <item m="1" x="10"/>
        <item m="1" x="5"/>
        <item m="1" x="6"/>
        <item x="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x="0"/>
        <item m="1" x="28"/>
        <item m="1" x="31"/>
        <item m="1" x="29"/>
        <item m="1" x="25"/>
        <item m="1" x="30"/>
        <item m="1" x="27"/>
        <item m="1" x="26"/>
        <item m="1" x="20"/>
        <item m="1" x="21"/>
        <item m="1" x="24"/>
        <item x="1"/>
        <item m="1" x="23"/>
        <item m="1" x="12"/>
        <item m="1" x="22"/>
        <item m="1" x="15"/>
        <item m="1" x="11"/>
        <item m="1" x="17"/>
        <item m="1" x="18"/>
        <item m="1" x="6"/>
        <item m="1" x="16"/>
        <item m="1" x="19"/>
        <item m="1" x="13"/>
        <item m="1" x="14"/>
        <item m="1" x="10"/>
        <item m="1" x="7"/>
        <item m="1" x="8"/>
        <item m="1" x="9"/>
        <item x="2"/>
        <item x="4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1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30"/>
    <field x="0"/>
    <field x="2"/>
    <field x="3"/>
    <field x="4"/>
  </rowFields>
  <rowItems count="11">
    <i>
      <x/>
      <x/>
      <x v="41"/>
      <x v="2"/>
      <x/>
    </i>
    <i r="1">
      <x v="1"/>
      <x v="46"/>
      <x v="2"/>
      <x/>
    </i>
    <i>
      <x v="1"/>
      <x/>
      <x v="43"/>
      <x v="5"/>
      <x v="28"/>
    </i>
    <i r="1">
      <x v="1"/>
      <x v="48"/>
      <x v="5"/>
      <x v="29"/>
    </i>
    <i>
      <x v="2"/>
      <x/>
      <x v="44"/>
      <x v="18"/>
      <x/>
    </i>
    <i r="1">
      <x v="1"/>
      <x v="49"/>
      <x v="19"/>
      <x/>
    </i>
    <i>
      <x v="3"/>
      <x/>
      <x v="42"/>
      <x v="5"/>
      <x v="11"/>
    </i>
    <i r="1">
      <x v="1"/>
      <x v="47"/>
      <x v="5"/>
      <x v="11"/>
    </i>
    <i>
      <x v="4"/>
      <x/>
      <x v="45"/>
      <x v="4"/>
      <x v="30"/>
    </i>
    <i r="1">
      <x v="1"/>
      <x v="50"/>
      <x v="4"/>
      <x v="3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5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CA1346E6-8296-4B58-8A4C-43766E6D1D8F}" autoFormatId="16" applyNumberFormats="0" applyBorderFormats="0" applyFontFormats="0" applyPatternFormats="0" applyAlignmentFormats="0" applyWidthHeightFormats="0">
  <queryTableRefresh nextId="108">
    <queryTableFields count="37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65" name="Non KPI" tableColumnId="36"/>
      <queryTableField id="32" name="WeekN" tableColumnId="32"/>
      <queryTableField id="24" name="Per Normal Hour" tableColumnId="24"/>
      <queryTableField id="25" name="Per Bonus Hour" tableColumnId="25"/>
      <queryTableField id="96" name="Tier 1 ARDCRI Rate" tableColumnId="41"/>
      <queryTableField id="97" name="Tier 2 ARDCRI Rate" tableColumnId="42"/>
      <queryTableField id="41" name="FUEL RATE" tableColumnId="33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60C4C2A-9904-4205-9367-F8C17812D754}" autoFormatId="16" applyNumberFormats="0" applyBorderFormats="0" applyFontFormats="0" applyPatternFormats="0" applyAlignmentFormats="0" applyWidthHeightFormats="0">
  <queryTableRefresh nextId="271">
    <queryTableFields count="62">
      <queryTableField id="1" name="WeekN" tableColumnId="1"/>
      <queryTableField id="123" name="Allowable Hours" tableColumnId="56"/>
      <queryTableField id="18" name="Online Hours" tableColumnId="18"/>
      <queryTableField id="246" name="Payable Normal Hours" tableColumnId="61"/>
      <queryTableField id="69" name="Payable Bonus Hours" tableColumnId="49"/>
      <queryTableField id="59" name="% of Hours to Required" tableColumnId="39"/>
      <queryTableField id="190" name="Core Hours Rev" tableColumnId="51"/>
      <queryTableField id="70" name="Bonus Hours Rev" tableColumnId="50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68" name="Tolls" tableColumnId="63"/>
      <queryTableField id="188" name="CHI Non-KPI" tableColumnId="60"/>
      <queryTableField id="108" name="Total Rev" tableColumnId="55"/>
      <queryTableField id="58" name="Payable Online Hours" tableColumnId="38"/>
      <queryTableField id="23" name="Required" tableColumnId="23"/>
      <queryTableField id="60" name="CHI Rev" tableColumnId="40"/>
      <queryTableField id="266" name="Total Expired Offers" tableColumnId="62"/>
      <queryTableField id="63" name="Tier 1 ARDCRI KPI" tableColumnId="43"/>
      <queryTableField id="64" name="Tier 2 ARDCRI KPI" tableColumnId="44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29" name="Fuel Rate" tableColumnId="28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65" name="ARDCRI Non KPI" tableColumnId="45"/>
      <queryTableField id="33" name="Driver Earnings Excl Tips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7">
    <queryTableFields count="4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13">
    <queryTableFields count="7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1" name="CLIENT TYPE - Copy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2C2563C2-4BE6-4843-BF93-30CBF479967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B858F978-7D7A-42AA-B42E-5A5BA6F91FB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J3" totalsRowShown="0" headerRowDxfId="46" dataDxfId="45">
  <tableColumns count="9">
    <tableColumn id="1" xr3:uid="{6E8F3551-4DCE-46CE-BD28-51A8302E87CB}" name="Type" dataDxfId="44"/>
    <tableColumn id="2" xr3:uid="{5404B4C5-ECEF-4C1F-8A18-BC9D8BE1C71B}" name="Start" dataDxfId="43"/>
    <tableColumn id="3" xr3:uid="{ED569C2B-A42E-43C5-A2F6-A3987EE52677}" name="End" dataDxfId="42"/>
    <tableColumn id="8" xr3:uid="{7528310C-79CF-4C2C-A6A6-945EB7C53D6F}" name="Week#" dataDxfId="41"/>
    <tableColumn id="9" xr3:uid="{F2617BD1-87E6-401A-9CEE-DF2A049276C1}" name="Per Normal Hour" dataDxfId="40"/>
    <tableColumn id="10" xr3:uid="{6AF37710-9F7B-4387-9CC2-103D69851C62}" name="Per Bonus Hour" dataDxfId="39"/>
    <tableColumn id="6" xr3:uid="{AE3F7AE3-B9B7-4FBD-BECC-F855DB3120A1}" name="Utilization Target" dataDxfId="38"/>
    <tableColumn id="4" xr3:uid="{76EDF2B3-48C2-41BC-8C8B-1E1DA27282E5}" name="Tier 1 ARDCRI Rate" dataDxfId="37" dataCellStyle="Percent"/>
    <tableColumn id="5" xr3:uid="{623BF9A5-9791-48A7-A063-0FCE89090301}" name="Tier 2 ARDCRI Rate" dataDxfId="36" dataCellStyle="Percent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26" tableType="queryTable" totalsRowShown="0">
  <autoFilter ref="A1:Q26" xr:uid="{425E9FDE-B83D-4045-8FD5-DD203C9CE861}"/>
  <tableColumns count="17">
    <tableColumn id="1" xr3:uid="{E230C15D-1F50-42B6-BAD8-8BBB397BDDF0}" uniqueName="1" name="PARTNER" queryTableFieldId="1" dataDxfId="35"/>
    <tableColumn id="7" xr3:uid="{6391F556-8AFE-459C-94D5-77F89EDE79EE}" uniqueName="7" name="UNIT" queryTableFieldId="16" dataDxfId="34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33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K38" tableType="queryTable" totalsRowShown="0">
  <autoFilter ref="A1:AK38" xr:uid="{E5D12863-AD84-4A4B-B180-F1201FADB94C}">
    <filterColumn colId="35">
      <filters>
        <filter val="GET YOU THERE08"/>
      </filters>
    </filterColumn>
  </autoFilter>
  <sortState xmlns:xlrd2="http://schemas.microsoft.com/office/spreadsheetml/2017/richdata2" ref="A2:AK38">
    <sortCondition ref="M1:M38"/>
  </sortState>
  <tableColumns count="37">
    <tableColumn id="1" xr3:uid="{2DF377BE-88DC-4F51-A0C3-719C6FB3A4E6}" uniqueName="1" name="Week" queryTableFieldId="1" dataDxfId="32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C2657E5F-7269-47F2-A5D9-3CA7F98ED5DA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43ADE153-15A4-4D8F-8D87-2AF015BF111F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6" xr3:uid="{A0F30C11-222E-4438-93D0-9815F100A0BC}" uniqueName="36" name="Non KPI" queryTableFieldId="65"/>
    <tableColumn id="32" xr3:uid="{FD0069D7-BC74-49D0-8403-75914F971A35}" uniqueName="32" name="WeekN" queryTableFieldId="32"/>
    <tableColumn id="24" xr3:uid="{30700B5B-2E9A-4180-86D4-DDFD8AA599AA}" uniqueName="24" name="Per Normal Hour" queryTableFieldId="24"/>
    <tableColumn id="25" xr3:uid="{CEE715F0-24C3-4773-AE40-4EFE9BF9C6D3}" uniqueName="25" name="Per Bonus Hour" queryTableFieldId="2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33" xr3:uid="{C0C0ECBC-94F6-42C4-9C09-623BB8768F8C}" uniqueName="33" name="FUEL RATE" queryTableFieldId="41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CBAFFD-1DAF-4021-BA56-733C7872BAE6}" name="Table1" displayName="Table1" ref="J3:T13" totalsRowShown="0" headerRowDxfId="31" headerRowBorderDxfId="30" tableBorderDxfId="29" totalsRowBorderDxfId="28">
  <autoFilter ref="J3:T13" xr:uid="{FECBAFFD-1DAF-4021-BA56-733C7872BAE6}"/>
  <tableColumns count="11">
    <tableColumn id="1" xr3:uid="{ED532F73-A4F9-4B64-9B25-B19E540FB804}" name="PARTNER NAME" dataDxfId="27"/>
    <tableColumn id="2" xr3:uid="{8452393E-E130-46CD-BB9B-F88E9D7DDA66}" name="WeekN" dataDxfId="26"/>
    <tableColumn id="3" xr3:uid="{1AB75664-5EB0-4BAE-B4FA-864B78A0362D}" name="Required Hours" dataDxfId="25"/>
    <tableColumn id="10" xr3:uid="{4C9C6474-D3C0-4616-9258-11D958196595}" name="Approved Extra Hours" dataDxfId="24"/>
    <tableColumn id="4" xr3:uid="{5ECF81CF-405D-4DE6-8FDC-6EAC0C42A567}" name="Allowed Hours" dataDxfId="23">
      <calculatedColumnFormula>+L4+M4</calculatedColumnFormula>
    </tableColumn>
    <tableColumn id="5" xr3:uid="{0EBB2235-A2A5-4290-B1A4-567556D55C2D}" name="Online Hours" dataDxfId="22"/>
    <tableColumn id="6" xr3:uid="{EE4F8652-E3BA-4FF6-B712-7DD1DECA4084}" name="Payable Normal Hours" dataDxfId="21"/>
    <tableColumn id="7" xr3:uid="{33C254F0-C3E6-49B1-AEFD-2C4A0093C1BD}" name="Payable Bonus Hours" dataDxfId="20"/>
    <tableColumn id="8" xr3:uid="{BF572C91-C017-4F09-AC26-41DE0FFD0B08}" name="Payable Hours" dataDxfId="19">
      <calculatedColumnFormula>+P4+Q4</calculatedColumnFormula>
    </tableColumn>
    <tableColumn id="9" xr3:uid="{B7EA109D-134C-46BB-8ABC-F613C4BFEAEF}" name="Unapproved Extra hours" dataDxfId="18">
      <calculatedColumnFormula>+O4-R4</calculatedColumnFormula>
    </tableColumn>
    <tableColumn id="11" xr3:uid="{4F8FEB9A-8035-42BE-AF97-47E9FA0E2021}" name="Percentage" dataDxfId="17" dataCellStyle="Percent">
      <calculatedColumnFormula>+O4/L4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J11" tableType="queryTable" totalsRowShown="0">
  <autoFilter ref="A1:BJ11" xr:uid="{DE01B30A-39AF-4694-BB2D-3D7EA17167B1}"/>
  <tableColumns count="62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61" xr3:uid="{FD7FF020-5EBD-4B22-8209-6BDCBBE11F6B}" uniqueName="61" name="Payable Normal Hours" queryTableFieldId="246"/>
    <tableColumn id="49" xr3:uid="{25A2E0C2-CC5A-44D1-A51F-E5E95A42F545}" uniqueName="49" name="Payable Bonus Hours" queryTableFieldId="69"/>
    <tableColumn id="39" xr3:uid="{FFDF7F0C-895D-47C7-A8DA-EB4BAD95100E}" uniqueName="39" name="% of Hours to Required" queryTableFieldId="59"/>
    <tableColumn id="51" xr3:uid="{9A467938-6A1F-42B8-B7A1-3C8AC1F3BC4A}" uniqueName="51" name="Core Hours Rev" queryTableFieldId="190"/>
    <tableColumn id="50" xr3:uid="{8A9FC133-1CDC-4645-9BFE-EB38D32FF42E}" uniqueName="50" name="Bonus Hours Rev" queryTableFieldId="7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63" xr3:uid="{7162ED37-4F7A-4002-95BF-694CD495515C}" uniqueName="63" name="Tolls" queryTableFieldId="268"/>
    <tableColumn id="60" xr3:uid="{705D8EC0-EB50-4D2D-8091-D7FD15AF4263}" uniqueName="60" name="CHI Non-KPI" queryTableFieldId="188"/>
    <tableColumn id="55" xr3:uid="{3DFFE008-C825-41F9-BFB2-200849DA9BAF}" uniqueName="55" name="Total Rev" queryTableFieldId="108"/>
    <tableColumn id="38" xr3:uid="{8D636687-415B-48F5-A497-1E99CDF83516}" uniqueName="38" name="Payable Online Hours" queryTableFieldId="5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62" xr3:uid="{FD95311F-56B6-409F-A268-B98804B3D8E7}" uniqueName="62" name="Total Expired Offers" queryTableFieldId="266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6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8" xr3:uid="{D1F3AC6A-A3EF-4995-925F-30620CCFB663}" uniqueName="28" name="Fuel Rate" queryTableFieldId="29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2PartnerOperatorCheck" displayName="Div2PartnerOperatorCheck" ref="A1:D59" tableType="queryTable" totalsRowShown="0">
  <autoFilter ref="A1:D59" xr:uid="{8C30C87A-9A34-4027-8438-327EE37D5D09}">
    <filterColumn colId="1">
      <filters blank="1"/>
    </filterColumn>
  </autoFilter>
  <tableColumns count="4">
    <tableColumn id="1" xr3:uid="{A2DDEF17-4180-474F-8FD2-4A742D02A595}" uniqueName="1" name="PARTNER NAME" queryTableFieldId="1" dataDxfId="15"/>
    <tableColumn id="2" xr3:uid="{199F8000-533A-4D13-9D9A-759582A3E92B}" uniqueName="2" name="OPERATOR NAME" queryTableFieldId="2" dataDxfId="14"/>
    <tableColumn id="5" xr3:uid="{9401B264-4438-4ADD-9C9E-230087F8EC3D}" uniqueName="5" name="VDPMVReportOperatorCheck.Operators Name" queryTableFieldId="5" dataDxfId="13"/>
    <tableColumn id="6" xr3:uid="{C7637019-3A1F-4B61-82FC-E68AB4305077}" uniqueName="6" name="VDPMVReportOperatorCheck.PARTNER NAM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2PartnerListPR" displayName="Div2PartnerListPR" ref="A1:E6" tableType="queryTable" totalsRowShown="0">
  <autoFilter ref="A1:E6" xr:uid="{08E01115-DC5C-456C-9CF1-D6A927DC81CB}"/>
  <tableColumns count="5">
    <tableColumn id="1" xr3:uid="{F796AAFE-55AB-48F7-9F7F-A8E54ADD75A5}" uniqueName="1" name="PARTNER NAME" queryTableFieldId="1" dataDxfId="12"/>
    <tableColumn id="3" xr3:uid="{E3BEB53E-30C2-49C0-831F-FA69F47D6A67}" uniqueName="3" name="FILE #" queryTableFieldId="3"/>
    <tableColumn id="2" xr3:uid="{01145E20-AA32-4805-9ED6-07B654B57048}" uniqueName="2" name="EMAIL" queryTableFieldId="2" dataDxfId="11"/>
    <tableColumn id="11" xr3:uid="{E2C6E0DF-970A-4E8B-9039-19535AED8ADA}" uniqueName="11" name="CLIENT TYPE" queryTableFieldId="12" dataDxfId="10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2PartnerList" displayName="Div2PartnerList" ref="A1:G59" tableType="queryTable" totalsRowShown="0">
  <autoFilter ref="A1:G59" xr:uid="{7BDF058E-3982-4999-AD80-8E91E4CE4D47}"/>
  <tableColumns count="7">
    <tableColumn id="1" xr3:uid="{73AB47F6-22C8-4731-8CA9-E6ECA292ADE1}" uniqueName="1" name="PARTNER NAME" queryTableFieldId="1" dataDxfId="9"/>
    <tableColumn id="2" xr3:uid="{77D45F60-B84F-4823-BCEB-AADF7DF4E8FF}" uniqueName="2" name="OPERATOR NAME" queryTableFieldId="2" dataDxfId="8"/>
    <tableColumn id="10" xr3:uid="{7139AE2B-99E2-48A3-9846-54856CBB34E3}" uniqueName="10" name="CLIENT TYPE" queryTableFieldId="10" dataDxfId="7"/>
    <tableColumn id="3" xr3:uid="{6F5AA685-9A3B-4069-ACE6-1B0E354F2E59}" uniqueName="3" name="VEHICLE TYPE" queryTableFieldId="3" dataDxfId="6"/>
    <tableColumn id="4" xr3:uid="{99C28A24-DD87-4862-91CB-D428594003AE}" uniqueName="4" name="EMAIL" queryTableFieldId="4" dataDxfId="5"/>
    <tableColumn id="5" xr3:uid="{5650847F-13D6-4666-A3F5-AA69F8F036C9}" uniqueName="5" name="FILE #" queryTableFieldId="5"/>
    <tableColumn id="11" xr3:uid="{2211B347-AF23-43D6-A5F3-EE90AB2FE0FD}" uniqueName="11" name="CLIENT TYPE - Copy" queryTableFieldId="11" dataDxf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D00C6F-8A60-4791-9E8C-B368D1864F11}" name="TollsChecks" displayName="TollsChecks" ref="A1:G2" tableType="queryTable" insertRow="1" totalsRowShown="0">
  <autoFilter ref="A1:G2" xr:uid="{33D00C6F-8A60-4791-9E8C-B368D1864F11}"/>
  <tableColumns count="7">
    <tableColumn id="1" xr3:uid="{3C758CB8-6781-42C8-B777-A11C9BEE78BC}" uniqueName="1" name="StartDate" queryTableFieldId="1" dataDxfId="3"/>
    <tableColumn id="2" xr3:uid="{D841DB5A-BAC4-46C6-945D-3E0F0B044A5D}" uniqueName="2" name="EndDate" queryTableFieldId="2" dataDxfId="2"/>
    <tableColumn id="3" xr3:uid="{8CB2FFFC-4310-4E63-98B9-DE94AA8C94FB}" uniqueName="3" name="Driver Name" queryTableFieldId="3"/>
    <tableColumn id="4" xr3:uid="{08E8BB0B-6A01-47D1-A166-34A4D7FBE2C1}" uniqueName="4" name="Tolls" queryTableFieldId="4"/>
    <tableColumn id="5" xr3:uid="{3786CEAB-CD1C-4D1F-8753-DA3139CCA9C9}" uniqueName="5" name="Week#" queryTableFieldId="5"/>
    <tableColumn id="6" xr3:uid="{91CFEC3D-625E-4683-8A1E-60346C036C90}" uniqueName="6" name="PARTNER NAME" queryTableFieldId="6"/>
    <tableColumn id="7" xr3:uid="{655C74C3-43F2-460A-AF13-CE282970EA7B}" uniqueName="7" name="OPERATOR NAME" queryTableFieldId="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849A24-4C68-4AC0-8966-CE6F618A170A}" name="Tolls" displayName="Tolls" ref="A1:G5" tableType="queryTable" totalsRowShown="0">
  <autoFilter ref="A1:G5" xr:uid="{AC849A24-4C68-4AC0-8966-CE6F618A170A}"/>
  <tableColumns count="7">
    <tableColumn id="1" xr3:uid="{0E0E9AB1-5EBD-43D7-9DEA-B8DA23263238}" uniqueName="1" name="StartDate" queryTableFieldId="1" dataDxfId="1"/>
    <tableColumn id="2" xr3:uid="{A2D4AEC7-B642-47F0-9B4B-1480273E3BB4}" uniqueName="2" name="EndDate" queryTableFieldId="2" dataDxfId="0"/>
    <tableColumn id="3" xr3:uid="{C4F310FD-B6A9-42D5-9252-1988FFF5D669}" uniqueName="3" name="Driver Name" queryTableFieldId="3"/>
    <tableColumn id="4" xr3:uid="{4EFE5F86-74AC-47D3-85C5-4A6C4F5170CC}" uniqueName="4" name="Tolls" queryTableFieldId="4"/>
    <tableColumn id="5" xr3:uid="{1C11CEBC-3AB1-4836-9011-B400D56A66D1}" uniqueName="5" name="Week#" queryTableFieldId="5"/>
    <tableColumn id="6" xr3:uid="{77016B76-03A3-4D6E-9E5C-817E35D80879}" uniqueName="6" name="PARTNER NAME" queryTableFieldId="6"/>
    <tableColumn id="7" xr3:uid="{8B08F3FE-8F6A-4F04-ADCE-48F96BD38804}" uniqueName="7" name="OPERATOR NA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8F57-671A-4864-A341-8029E7D24571}">
  <sheetPr codeName="Sheet34"/>
  <dimension ref="A3:J5"/>
  <sheetViews>
    <sheetView showGridLines="0" workbookViewId="0">
      <selection activeCell="L12" sqref="L12"/>
    </sheetView>
  </sheetViews>
  <sheetFormatPr defaultColWidth="8.85546875" defaultRowHeight="15" x14ac:dyDescent="0.25"/>
  <cols>
    <col min="1" max="16384" width="8.85546875" style="32"/>
  </cols>
  <sheetData>
    <row r="3" spans="1:10" ht="15.75" x14ac:dyDescent="0.25">
      <c r="F3" s="92"/>
    </row>
    <row r="5" spans="1:10" ht="18.75" x14ac:dyDescent="0.3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J3"/>
  <sheetViews>
    <sheetView showGridLines="0" workbookViewId="0">
      <selection activeCell="C2" sqref="C2"/>
    </sheetView>
  </sheetViews>
  <sheetFormatPr defaultRowHeight="15" x14ac:dyDescent="0.25"/>
  <cols>
    <col min="1" max="1" width="2.28515625" customWidth="1"/>
    <col min="2" max="2" width="18.7109375" customWidth="1"/>
    <col min="3" max="4" width="17" style="61" customWidth="1"/>
    <col min="5" max="5" width="12.28515625" customWidth="1"/>
    <col min="6" max="6" width="19" style="54" bestFit="1" customWidth="1"/>
    <col min="7" max="7" width="17.28515625" style="54" customWidth="1"/>
    <col min="8" max="8" width="19.5703125" style="73" bestFit="1" customWidth="1"/>
    <col min="9" max="10" width="19.5703125" style="54" bestFit="1" customWidth="1"/>
  </cols>
  <sheetData>
    <row r="1" spans="2:10" ht="18.75" x14ac:dyDescent="0.25">
      <c r="B1" s="59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72" t="s">
        <v>7</v>
      </c>
      <c r="I1" s="56" t="s">
        <v>8</v>
      </c>
      <c r="J1" s="56" t="s">
        <v>9</v>
      </c>
    </row>
    <row r="2" spans="2:10" ht="18.75" x14ac:dyDescent="0.25">
      <c r="B2" s="59" t="s">
        <v>11</v>
      </c>
      <c r="C2" s="60">
        <v>45670</v>
      </c>
      <c r="D2" s="60">
        <f>+C2+6</f>
        <v>45676</v>
      </c>
      <c r="E2" s="57" t="s">
        <v>12</v>
      </c>
      <c r="F2" s="58">
        <v>70</v>
      </c>
      <c r="G2" s="58">
        <v>20</v>
      </c>
      <c r="H2" s="72">
        <v>0.7</v>
      </c>
      <c r="I2" s="56">
        <v>0.1</v>
      </c>
      <c r="J2" s="56">
        <v>0.05</v>
      </c>
    </row>
    <row r="3" spans="2:10" ht="18.75" x14ac:dyDescent="0.25">
      <c r="B3" s="59" t="s">
        <v>11</v>
      </c>
      <c r="C3" s="60">
        <v>45677</v>
      </c>
      <c r="D3" s="60">
        <f>+C3+6</f>
        <v>45683</v>
      </c>
      <c r="E3" s="57" t="s">
        <v>13</v>
      </c>
      <c r="F3" s="58">
        <v>70</v>
      </c>
      <c r="G3" s="58">
        <v>20</v>
      </c>
      <c r="H3" s="72">
        <v>0.7</v>
      </c>
      <c r="I3" s="56">
        <v>0.1</v>
      </c>
      <c r="J3" s="56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26"/>
  <sheetViews>
    <sheetView workbookViewId="0">
      <selection activeCell="J27" sqref="J27"/>
    </sheetView>
  </sheetViews>
  <sheetFormatPr defaultRowHeight="15" x14ac:dyDescent="0.25"/>
  <cols>
    <col min="1" max="1" width="33.8554687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4.140625" bestFit="1" customWidth="1"/>
    <col min="21" max="21" width="16.42578125" bestFit="1" customWidth="1"/>
    <col min="22" max="22" width="16.42578125" customWidth="1"/>
    <col min="23" max="23" width="8.42578125" bestFit="1" customWidth="1"/>
    <col min="24" max="24" width="17.140625" bestFit="1" customWidth="1"/>
  </cols>
  <sheetData>
    <row r="1" spans="1:17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</row>
    <row r="2" spans="1:17" x14ac:dyDescent="0.25">
      <c r="A2" t="s">
        <v>31</v>
      </c>
      <c r="B2" t="s">
        <v>32</v>
      </c>
      <c r="C2">
        <v>315</v>
      </c>
      <c r="D2">
        <v>0</v>
      </c>
      <c r="E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33</v>
      </c>
      <c r="Q2">
        <v>0</v>
      </c>
    </row>
    <row r="3" spans="1:17" x14ac:dyDescent="0.25">
      <c r="A3" t="s">
        <v>34</v>
      </c>
      <c r="B3" t="s">
        <v>35</v>
      </c>
      <c r="C3">
        <v>309</v>
      </c>
      <c r="D3">
        <v>2</v>
      </c>
      <c r="E3">
        <v>618</v>
      </c>
      <c r="G3">
        <v>0</v>
      </c>
      <c r="H3">
        <v>281.47750000000002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36</v>
      </c>
      <c r="P3">
        <v>0</v>
      </c>
      <c r="Q3">
        <v>0</v>
      </c>
    </row>
    <row r="4" spans="1:17" x14ac:dyDescent="0.25">
      <c r="A4" t="s">
        <v>37</v>
      </c>
      <c r="B4" t="s">
        <v>38</v>
      </c>
      <c r="C4">
        <v>307</v>
      </c>
      <c r="D4">
        <v>0</v>
      </c>
      <c r="E4">
        <v>0</v>
      </c>
      <c r="G4">
        <v>0</v>
      </c>
      <c r="H4">
        <v>3847.7159000000001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36</v>
      </c>
      <c r="P4">
        <v>2</v>
      </c>
      <c r="Q4">
        <v>0</v>
      </c>
    </row>
    <row r="5" spans="1:17" x14ac:dyDescent="0.25">
      <c r="A5" t="s">
        <v>37</v>
      </c>
      <c r="B5" t="s">
        <v>39</v>
      </c>
      <c r="C5">
        <v>309</v>
      </c>
      <c r="D5">
        <v>2</v>
      </c>
      <c r="E5">
        <v>618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36</v>
      </c>
      <c r="P5">
        <v>2</v>
      </c>
      <c r="Q5">
        <v>0</v>
      </c>
    </row>
    <row r="6" spans="1:17" x14ac:dyDescent="0.25">
      <c r="A6" t="s">
        <v>37</v>
      </c>
      <c r="B6" t="s">
        <v>40</v>
      </c>
      <c r="C6">
        <v>309</v>
      </c>
      <c r="D6">
        <v>2</v>
      </c>
      <c r="E6">
        <v>618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36</v>
      </c>
      <c r="P6">
        <v>2</v>
      </c>
      <c r="Q6">
        <v>0</v>
      </c>
    </row>
    <row r="7" spans="1:17" x14ac:dyDescent="0.25">
      <c r="A7" t="s">
        <v>41</v>
      </c>
      <c r="B7" t="s">
        <v>42</v>
      </c>
      <c r="C7">
        <v>309</v>
      </c>
      <c r="D7">
        <v>0</v>
      </c>
      <c r="E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36</v>
      </c>
      <c r="Q7">
        <v>0</v>
      </c>
    </row>
    <row r="8" spans="1:17" x14ac:dyDescent="0.25">
      <c r="A8" t="s">
        <v>37</v>
      </c>
      <c r="B8" t="s">
        <v>43</v>
      </c>
      <c r="C8">
        <v>315</v>
      </c>
      <c r="D8">
        <v>0</v>
      </c>
      <c r="E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33</v>
      </c>
      <c r="P8">
        <v>2</v>
      </c>
      <c r="Q8">
        <v>0</v>
      </c>
    </row>
    <row r="9" spans="1:17" x14ac:dyDescent="0.25">
      <c r="A9" t="s">
        <v>44</v>
      </c>
      <c r="B9" t="s">
        <v>45</v>
      </c>
      <c r="C9">
        <v>309</v>
      </c>
      <c r="D9">
        <v>2</v>
      </c>
      <c r="E9">
        <v>618</v>
      </c>
      <c r="G9">
        <v>75</v>
      </c>
      <c r="H9">
        <v>1952.2397000000001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36</v>
      </c>
      <c r="P9">
        <v>2</v>
      </c>
      <c r="Q9">
        <v>75</v>
      </c>
    </row>
    <row r="10" spans="1:17" x14ac:dyDescent="0.25">
      <c r="A10" t="s">
        <v>46</v>
      </c>
      <c r="B10" t="s">
        <v>47</v>
      </c>
      <c r="C10">
        <v>296</v>
      </c>
      <c r="D10">
        <v>0</v>
      </c>
      <c r="E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33</v>
      </c>
      <c r="Q10">
        <v>0</v>
      </c>
    </row>
    <row r="11" spans="1:17" x14ac:dyDescent="0.25">
      <c r="A11" t="s">
        <v>48</v>
      </c>
      <c r="B11" t="s">
        <v>49</v>
      </c>
      <c r="C11">
        <v>307</v>
      </c>
      <c r="D11">
        <v>2</v>
      </c>
      <c r="E11">
        <v>614</v>
      </c>
      <c r="G11">
        <v>50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8763.3700000000008</v>
      </c>
      <c r="O11" t="s">
        <v>36</v>
      </c>
      <c r="P11">
        <v>1</v>
      </c>
      <c r="Q11">
        <v>50</v>
      </c>
    </row>
    <row r="12" spans="1:17" x14ac:dyDescent="0.25">
      <c r="A12" t="s">
        <v>48</v>
      </c>
      <c r="B12" t="s">
        <v>50</v>
      </c>
      <c r="C12">
        <v>307</v>
      </c>
      <c r="D12">
        <v>0</v>
      </c>
      <c r="E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36</v>
      </c>
      <c r="P12">
        <v>1</v>
      </c>
      <c r="Q12">
        <v>0</v>
      </c>
    </row>
    <row r="13" spans="1:17" x14ac:dyDescent="0.25">
      <c r="A13" t="s">
        <v>48</v>
      </c>
      <c r="B13" t="s">
        <v>51</v>
      </c>
      <c r="C13">
        <v>307</v>
      </c>
      <c r="D13">
        <v>2</v>
      </c>
      <c r="E13">
        <v>614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36</v>
      </c>
      <c r="P13">
        <v>1</v>
      </c>
      <c r="Q13">
        <v>0</v>
      </c>
    </row>
    <row r="14" spans="1:17" x14ac:dyDescent="0.25">
      <c r="A14" t="s">
        <v>48</v>
      </c>
      <c r="B14" t="s">
        <v>52</v>
      </c>
      <c r="C14">
        <v>296</v>
      </c>
      <c r="D14">
        <v>0</v>
      </c>
      <c r="E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33</v>
      </c>
      <c r="P14">
        <v>1</v>
      </c>
      <c r="Q14">
        <v>0</v>
      </c>
    </row>
    <row r="15" spans="1:17" x14ac:dyDescent="0.25">
      <c r="A15" t="s">
        <v>53</v>
      </c>
      <c r="B15" t="s">
        <v>54</v>
      </c>
      <c r="C15">
        <v>315</v>
      </c>
      <c r="D15">
        <v>0</v>
      </c>
      <c r="E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33</v>
      </c>
      <c r="Q15">
        <v>0</v>
      </c>
    </row>
    <row r="16" spans="1:17" x14ac:dyDescent="0.25">
      <c r="A16" t="s">
        <v>55</v>
      </c>
      <c r="B16" t="s">
        <v>56</v>
      </c>
      <c r="C16">
        <v>296</v>
      </c>
      <c r="D16">
        <v>0</v>
      </c>
      <c r="E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33</v>
      </c>
      <c r="Q16">
        <v>0</v>
      </c>
    </row>
    <row r="17" spans="1:17" x14ac:dyDescent="0.25">
      <c r="A17" t="s">
        <v>57</v>
      </c>
      <c r="C17">
        <v>315</v>
      </c>
      <c r="D17">
        <v>0</v>
      </c>
      <c r="E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33</v>
      </c>
      <c r="Q17">
        <v>0</v>
      </c>
    </row>
    <row r="18" spans="1:17" x14ac:dyDescent="0.25">
      <c r="A18" t="s">
        <v>58</v>
      </c>
      <c r="B18" t="s">
        <v>59</v>
      </c>
      <c r="C18">
        <v>315</v>
      </c>
      <c r="D18">
        <v>0</v>
      </c>
      <c r="E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33</v>
      </c>
      <c r="Q18">
        <v>0</v>
      </c>
    </row>
    <row r="19" spans="1:17" x14ac:dyDescent="0.25">
      <c r="A19" t="s">
        <v>60</v>
      </c>
      <c r="C19">
        <v>315</v>
      </c>
      <c r="D19">
        <v>0</v>
      </c>
      <c r="E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33</v>
      </c>
      <c r="Q19">
        <v>0</v>
      </c>
    </row>
    <row r="20" spans="1:17" x14ac:dyDescent="0.25">
      <c r="A20" t="s">
        <v>61</v>
      </c>
      <c r="B20" t="s">
        <v>62</v>
      </c>
      <c r="C20">
        <v>315</v>
      </c>
      <c r="D20">
        <v>0</v>
      </c>
      <c r="E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33</v>
      </c>
      <c r="Q20">
        <v>0</v>
      </c>
    </row>
    <row r="21" spans="1:17" x14ac:dyDescent="0.25">
      <c r="A21" t="s">
        <v>63</v>
      </c>
      <c r="B21" t="s">
        <v>64</v>
      </c>
      <c r="C21">
        <v>296</v>
      </c>
      <c r="D21">
        <v>0</v>
      </c>
      <c r="E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33</v>
      </c>
      <c r="Q21">
        <v>0</v>
      </c>
    </row>
    <row r="22" spans="1:17" x14ac:dyDescent="0.25">
      <c r="A22" t="s">
        <v>65</v>
      </c>
      <c r="B22" t="s">
        <v>66</v>
      </c>
      <c r="C22">
        <v>307</v>
      </c>
      <c r="D22">
        <v>2</v>
      </c>
      <c r="E22">
        <v>614</v>
      </c>
      <c r="G22">
        <v>0</v>
      </c>
      <c r="H22">
        <v>229.38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36</v>
      </c>
      <c r="P22">
        <v>2</v>
      </c>
      <c r="Q22">
        <v>0</v>
      </c>
    </row>
    <row r="23" spans="1:17" x14ac:dyDescent="0.25">
      <c r="A23" t="s">
        <v>65</v>
      </c>
      <c r="B23" t="s">
        <v>67</v>
      </c>
      <c r="C23">
        <v>315</v>
      </c>
      <c r="D23">
        <v>0</v>
      </c>
      <c r="E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33</v>
      </c>
      <c r="P23">
        <v>2</v>
      </c>
      <c r="Q23">
        <v>0</v>
      </c>
    </row>
    <row r="24" spans="1:17" x14ac:dyDescent="0.25">
      <c r="A24" t="s">
        <v>65</v>
      </c>
      <c r="B24" t="s">
        <v>68</v>
      </c>
      <c r="C24">
        <v>315</v>
      </c>
      <c r="D24">
        <v>0</v>
      </c>
      <c r="E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33</v>
      </c>
      <c r="P24">
        <v>2</v>
      </c>
      <c r="Q24">
        <v>0</v>
      </c>
    </row>
    <row r="25" spans="1:17" x14ac:dyDescent="0.25">
      <c r="A25" t="s">
        <v>65</v>
      </c>
      <c r="C25">
        <v>315</v>
      </c>
      <c r="D25">
        <v>0</v>
      </c>
      <c r="E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33</v>
      </c>
      <c r="P25">
        <v>2</v>
      </c>
      <c r="Q25">
        <v>0</v>
      </c>
    </row>
    <row r="26" spans="1:17" x14ac:dyDescent="0.25">
      <c r="A26" t="s">
        <v>69</v>
      </c>
      <c r="B26" t="s">
        <v>70</v>
      </c>
      <c r="C26">
        <v>315</v>
      </c>
      <c r="D26">
        <v>0</v>
      </c>
      <c r="E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33</v>
      </c>
      <c r="Q2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U30"/>
  <sheetViews>
    <sheetView showGridLines="0" tabSelected="1" zoomScale="80" zoomScaleNormal="80" workbookViewId="0">
      <pane ySplit="4" topLeftCell="A5" activePane="bottomLeft" state="frozen"/>
      <selection pane="bottomLeft" activeCell="E25" sqref="E25"/>
    </sheetView>
  </sheetViews>
  <sheetFormatPr defaultColWidth="9.28515625" defaultRowHeight="15" customHeight="1" x14ac:dyDescent="0.25"/>
  <cols>
    <col min="1" max="1" width="32.7109375" style="46" bestFit="1" customWidth="1"/>
    <col min="2" max="2" width="6.7109375" style="53" bestFit="1" customWidth="1"/>
    <col min="3" max="3" width="32.28515625" style="32" customWidth="1"/>
    <col min="4" max="4" width="13.28515625" style="32" customWidth="1"/>
    <col min="5" max="5" width="16.28515625" style="32" bestFit="1" customWidth="1"/>
    <col min="6" max="8" width="13.28515625" style="32" customWidth="1"/>
    <col min="9" max="9" width="14.5703125" style="32" customWidth="1"/>
    <col min="10" max="10" width="13.7109375" style="32" bestFit="1" customWidth="1"/>
    <col min="11" max="11" width="13.42578125" style="32" bestFit="1" customWidth="1"/>
    <col min="12" max="14" width="13.42578125" style="32" customWidth="1"/>
    <col min="15" max="15" width="14" style="32" bestFit="1" customWidth="1"/>
    <col min="16" max="16" width="15.7109375" style="32" bestFit="1" customWidth="1"/>
    <col min="17" max="17" width="17.42578125" style="33" customWidth="1"/>
    <col min="18" max="19" width="0" style="32" hidden="1" customWidth="1"/>
    <col min="20" max="16384" width="9.28515625" style="32"/>
  </cols>
  <sheetData>
    <row r="1" spans="1:21" ht="15.75" x14ac:dyDescent="0.25">
      <c r="A1" s="30" t="s">
        <v>324</v>
      </c>
      <c r="B1" s="31"/>
      <c r="C1" s="31"/>
    </row>
    <row r="2" spans="1:21" ht="18.75" x14ac:dyDescent="0.3">
      <c r="A2" s="30"/>
      <c r="B2" s="31"/>
      <c r="C2" s="31"/>
      <c r="D2" s="116" t="s">
        <v>71</v>
      </c>
      <c r="E2" s="116"/>
      <c r="F2" s="116"/>
      <c r="G2" s="116"/>
      <c r="H2" s="116"/>
      <c r="I2" s="116"/>
      <c r="J2" s="117" t="s">
        <v>72</v>
      </c>
      <c r="K2" s="117"/>
      <c r="L2" s="117"/>
      <c r="M2" s="117"/>
      <c r="N2" s="117"/>
      <c r="O2" s="117"/>
      <c r="P2" s="117"/>
    </row>
    <row r="3" spans="1:21" ht="15.75" x14ac:dyDescent="0.25">
      <c r="A3" s="30"/>
      <c r="B3" s="31"/>
      <c r="C3" s="31"/>
      <c r="D3" s="119" t="s">
        <v>73</v>
      </c>
      <c r="E3" s="119"/>
      <c r="F3" s="119" t="s">
        <v>74</v>
      </c>
      <c r="G3" s="119"/>
      <c r="H3" s="119"/>
      <c r="I3" s="119"/>
      <c r="J3" s="35"/>
      <c r="O3" s="35"/>
      <c r="P3" s="35"/>
      <c r="Q3" s="36" t="s">
        <v>75</v>
      </c>
    </row>
    <row r="4" spans="1:21" s="34" customFormat="1" ht="15.75" thickBot="1" x14ac:dyDescent="0.3">
      <c r="A4" s="37" t="s">
        <v>76</v>
      </c>
      <c r="B4" s="38" t="s">
        <v>77</v>
      </c>
      <c r="C4" s="38" t="s">
        <v>78</v>
      </c>
      <c r="D4" s="38" t="s">
        <v>79</v>
      </c>
      <c r="E4" s="38" t="s">
        <v>80</v>
      </c>
      <c r="F4" s="38" t="s">
        <v>81</v>
      </c>
      <c r="G4" s="38" t="s">
        <v>82</v>
      </c>
      <c r="H4" s="38" t="s">
        <v>22</v>
      </c>
      <c r="I4" s="38" t="s">
        <v>83</v>
      </c>
      <c r="J4" s="38" t="s">
        <v>84</v>
      </c>
      <c r="K4" s="38" t="s">
        <v>85</v>
      </c>
      <c r="L4" s="38" t="s">
        <v>24</v>
      </c>
      <c r="M4" s="38" t="s">
        <v>25</v>
      </c>
      <c r="N4" s="38" t="s">
        <v>26</v>
      </c>
      <c r="O4" s="38" t="s">
        <v>20</v>
      </c>
      <c r="P4" s="38" t="s">
        <v>86</v>
      </c>
      <c r="Q4" s="39" t="s">
        <v>87</v>
      </c>
    </row>
    <row r="5" spans="1:21" ht="24" thickTop="1" x14ac:dyDescent="0.35">
      <c r="A5" s="118" t="s">
        <v>36</v>
      </c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</row>
    <row r="6" spans="1:21" x14ac:dyDescent="0.25">
      <c r="A6" s="46" t="str" cm="1">
        <f t="array" ref="A6:C10">_xlfn._xlws.FILTER(_xlfn.UNIQUE(Div2PartnerListPR[[PARTNER NAME]:[EMAIL]]),((Div2PartnerListPR[PartnerSort]=0)+(Div2PartnerListPR[PartnerSort]=2)),"No First Trip Partner")</f>
        <v>DIRECT TRANSIT LLC</v>
      </c>
      <c r="B6" s="53">
        <v>2338</v>
      </c>
      <c r="C6" s="40" t="str">
        <v>marlon@direct-transit.com</v>
      </c>
      <c r="D6" s="41">
        <f>IFERROR(SUMIF(SumVDPMVReport[PARTNER NAME],$A6,SumVDPMVReport[Total Rev]),0)</f>
        <v>15723.99</v>
      </c>
      <c r="E6" s="41"/>
      <c r="F6" s="41">
        <f>IFERROR(SUMIF(SumVDPMVReport[PARTNER NAME],$A6,#REF!),0)</f>
        <v>0</v>
      </c>
      <c r="G6" s="42" cm="1">
        <f t="array" ref="G6">SUM(_xlfn._xlws.FILTER(Deduction_and_other_Revenue[Other Income],((Deduction_and_other_Revenue[TYPE]=$A$5)*(Deduction_and_other_Revenue[PARTNER]=$A6)),0))</f>
        <v>0</v>
      </c>
      <c r="H6" s="41" cm="1">
        <f t="array" ref="H6">SUM(_xlfn._xlws.FILTER(Deduction_and_other_Revenue[Bonus],((Deduction_and_other_Revenue[TYPE]=$A$5)*(Deduction_and_other_Revenue[PARTNER]=$A6)),0))</f>
        <v>0</v>
      </c>
      <c r="I6" s="42" cm="1">
        <f t="array" ref="I6">SUM(_xlfn._xlws.FILTER(Deduction_and_other_Revenue[Reimbursement],((Deduction_and_other_Revenue[TYPE]=$A$5)*(Deduction_and_other_Revenue[PARTNER]=$A6)),0))</f>
        <v>0</v>
      </c>
      <c r="J6" s="41" cm="1">
        <f t="array" ref="J6">SUM(_xlfn._xlws.FILTER(Deduction_and_other_Revenue[Credentials],((Deduction_and_other_Revenue[TYPE]=$A$5)*(Deduction_and_other_Revenue[PARTNER]=$A6)),0))</f>
        <v>0</v>
      </c>
      <c r="K6" s="43" cm="1">
        <f t="array" ref="K6">SUM(_xlfn._xlws.FILTER(Deduction_and_other_Revenue[LIFT LEASE TOTAL],((Deduction_and_other_Revenue[TYPE]=$A$5)*(Deduction_and_other_Revenue[PARTNER]=$A6)),0))</f>
        <v>1228</v>
      </c>
      <c r="L6" s="43" cm="1">
        <f t="array" ref="L6">SUM(_xlfn._xlws.FILTER(Deduction_and_other_Revenue[Tolls],((Deduction_and_other_Revenue[TYPE]=$A$5)*(Deduction_and_other_Revenue[PARTNER]=$A6)),0))</f>
        <v>0</v>
      </c>
      <c r="M6" s="43" cm="1">
        <f t="array" ref="M6">SUM(_xlfn._xlws.FILTER(Deduction_and_other_Revenue[Camera Tickets],((Deduction_and_other_Revenue[TYPE]=$A$5)*(Deduction_and_other_Revenue[PARTNER]=$A6)),0))</f>
        <v>0</v>
      </c>
      <c r="N6" s="43" cm="1">
        <f t="array" ref="N6">SUM(_xlfn._xlws.FILTER(Deduction_and_other_Revenue[Parking Tickets],((Deduction_and_other_Revenue[TYPE]=$A$5)*(Deduction_and_other_Revenue[PARTNER]=$A6)),0))</f>
        <v>0</v>
      </c>
      <c r="O6" s="41" cm="1">
        <f t="array" ref="O6">SUM(_xlfn._xlws.FILTER(Deduction_and_other_Revenue[Violation],((Deduction_and_other_Revenue[TYPE]=$A$5)*(Deduction_and_other_Revenue[PARTNER]=$A6)),0))</f>
        <v>50</v>
      </c>
      <c r="P6" s="41" cm="1">
        <f t="array" ref="P6">SUM(_xlfn._xlws.FILTER(Deduction_and_other_Revenue[Other Deductions],((Deduction_and_other_Revenue[TYPE]=$A$5)*(Deduction_and_other_Revenue[PARTNER]=$A6)),0))</f>
        <v>8763.3700000000008</v>
      </c>
      <c r="Q6" s="44">
        <f>IFERROR(SUM(D6:I6)-SUM(J6:P6),0)</f>
        <v>5682.619999999999</v>
      </c>
      <c r="U6" s="89"/>
    </row>
    <row r="7" spans="1:21" x14ac:dyDescent="0.25">
      <c r="A7" s="46" t="str">
        <v>Q-TELL TRANSIT LLC</v>
      </c>
      <c r="B7" s="53">
        <v>2302</v>
      </c>
      <c r="C7" s="40" t="str">
        <v>qtelltransit@gmail.com</v>
      </c>
      <c r="D7" s="41">
        <f>IFERROR(SUMIF(SumVDPMVReport[PARTNER NAME],$A7,SumVDPMVReport[Total Rev]),0)</f>
        <v>7010.5</v>
      </c>
      <c r="E7" s="41"/>
      <c r="F7" s="41">
        <f>IFERROR(SUMIF(SumVDPMVReport[PARTNER NAME],$A7,#REF!),0)</f>
        <v>0</v>
      </c>
      <c r="G7" s="42" cm="1">
        <f t="array" ref="G7">SUM(_xlfn._xlws.FILTER(Deduction_and_other_Revenue[Other Income],((Deduction_and_other_Revenue[TYPE]=$A$5)*(Deduction_and_other_Revenue[PARTNER]=$A7)),0))</f>
        <v>229.38</v>
      </c>
      <c r="H7" s="41" cm="1">
        <f t="array" ref="H7">SUM(_xlfn._xlws.FILTER(Deduction_and_other_Revenue[Bonus],((Deduction_and_other_Revenue[TYPE]=$A$5)*(Deduction_and_other_Revenue[PARTNER]=$A7)),0))</f>
        <v>0</v>
      </c>
      <c r="I7" s="42" cm="1">
        <f t="array" ref="I7">SUM(_xlfn._xlws.FILTER(Deduction_and_other_Revenue[Reimbursement],((Deduction_and_other_Revenue[TYPE]=$A$5)*(Deduction_and_other_Revenue[PARTNER]=$A7)),0))</f>
        <v>0</v>
      </c>
      <c r="J7" s="41" cm="1">
        <f t="array" ref="J7">SUM(_xlfn._xlws.FILTER(Deduction_and_other_Revenue[Credentials],((Deduction_and_other_Revenue[TYPE]=$A$5)*(Deduction_and_other_Revenue[PARTNER]=$A7)),0))</f>
        <v>0</v>
      </c>
      <c r="K7" s="43" cm="1">
        <f t="array" ref="K7">SUM(_xlfn._xlws.FILTER(Deduction_and_other_Revenue[LIFT LEASE TOTAL],((Deduction_and_other_Revenue[TYPE]=$A$5)*(Deduction_and_other_Revenue[PARTNER]=$A7)),0))</f>
        <v>614</v>
      </c>
      <c r="L7" s="43" cm="1">
        <f t="array" ref="L7">SUM(_xlfn._xlws.FILTER(Deduction_and_other_Revenue[Tolls],((Deduction_and_other_Revenue[TYPE]=$A$5)*(Deduction_and_other_Revenue[PARTNER]=$A7)),0))</f>
        <v>0</v>
      </c>
      <c r="M7" s="43" cm="1">
        <f t="array" ref="M7">SUM(_xlfn._xlws.FILTER(Deduction_and_other_Revenue[Camera Tickets],((Deduction_and_other_Revenue[TYPE]=$A$5)*(Deduction_and_other_Revenue[PARTNER]=$A7)),0))</f>
        <v>0</v>
      </c>
      <c r="N7" s="43" cm="1">
        <f t="array" ref="N7">SUM(_xlfn._xlws.FILTER(Deduction_and_other_Revenue[Parking Tickets],((Deduction_and_other_Revenue[TYPE]=$A$5)*(Deduction_and_other_Revenue[PARTNER]=$A7)),0))</f>
        <v>0</v>
      </c>
      <c r="O7" s="41" cm="1">
        <f t="array" ref="O7">SUM(_xlfn._xlws.FILTER(Deduction_and_other_Revenue[Violation],((Deduction_and_other_Revenue[TYPE]=$A$5)*(Deduction_and_other_Revenue[PARTNER]=$A7)),0))</f>
        <v>0</v>
      </c>
      <c r="P7" s="41" cm="1">
        <f t="array" ref="P7">SUM(_xlfn._xlws.FILTER(Deduction_and_other_Revenue[Other Deductions],((Deduction_and_other_Revenue[TYPE]=$A$5)*(Deduction_and_other_Revenue[PARTNER]=$A7)),0))</f>
        <v>0</v>
      </c>
      <c r="Q7" s="44">
        <f t="shared" ref="Q7:Q13" si="0">IFERROR(SUM(D7:I7)-SUM(J7:P7),0)</f>
        <v>6625.88</v>
      </c>
      <c r="U7" s="89"/>
    </row>
    <row r="8" spans="1:21" x14ac:dyDescent="0.25">
      <c r="A8" s="46" t="str">
        <v>CIRCLE TRANSIT</v>
      </c>
      <c r="B8" s="53">
        <v>2313</v>
      </c>
      <c r="C8" s="40" t="str">
        <v>circletransit1@gmail.com</v>
      </c>
      <c r="D8" s="41">
        <f>IFERROR(SUMIF(SumVDPMVReport[PARTNER NAME],$A8,SumVDPMVReport[Total Rev]),0)</f>
        <v>12483.148099999999</v>
      </c>
      <c r="E8" s="41"/>
      <c r="F8" s="41">
        <f>IFERROR(SUMIF(SumVDPMVReport[PARTNER NAME],$A8,#REF!),0)</f>
        <v>0</v>
      </c>
      <c r="G8" s="42" cm="1">
        <f t="array" ref="G8">SUM(_xlfn._xlws.FILTER(Deduction_and_other_Revenue[Other Income],((Deduction_and_other_Revenue[TYPE]=$A$5)*(Deduction_and_other_Revenue[PARTNER]=$A8)),0))</f>
        <v>3847.7159000000001</v>
      </c>
      <c r="H8" s="41" cm="1">
        <f t="array" ref="H8">SUM(_xlfn._xlws.FILTER(Deduction_and_other_Revenue[Bonus],((Deduction_and_other_Revenue[TYPE]=$A$5)*(Deduction_and_other_Revenue[PARTNER]=$A8)),0))</f>
        <v>0</v>
      </c>
      <c r="I8" s="42" cm="1">
        <f t="array" ref="I8">SUM(_xlfn._xlws.FILTER(Deduction_and_other_Revenue[Reimbursement],((Deduction_and_other_Revenue[TYPE]=$A$5)*(Deduction_and_other_Revenue[PARTNER]=$A8)),0))</f>
        <v>0</v>
      </c>
      <c r="J8" s="41" cm="1">
        <f t="array" ref="J8">SUM(_xlfn._xlws.FILTER(Deduction_and_other_Revenue[Credentials],((Deduction_and_other_Revenue[TYPE]=$A$5)*(Deduction_and_other_Revenue[PARTNER]=$A8)),0))</f>
        <v>0</v>
      </c>
      <c r="K8" s="43" cm="1">
        <f t="array" ref="K8">SUM(_xlfn._xlws.FILTER(Deduction_and_other_Revenue[LIFT LEASE TOTAL],((Deduction_and_other_Revenue[TYPE]=$A$5)*(Deduction_and_other_Revenue[PARTNER]=$A8)),0))</f>
        <v>1236</v>
      </c>
      <c r="L8" s="43" cm="1">
        <f t="array" ref="L8">SUM(_xlfn._xlws.FILTER(Deduction_and_other_Revenue[Tolls],((Deduction_and_other_Revenue[TYPE]=$A$5)*(Deduction_and_other_Revenue[PARTNER]=$A8)),0))</f>
        <v>0</v>
      </c>
      <c r="M8" s="43" cm="1">
        <f t="array" ref="M8">SUM(_xlfn._xlws.FILTER(Deduction_and_other_Revenue[Camera Tickets],((Deduction_and_other_Revenue[TYPE]=$A$5)*(Deduction_and_other_Revenue[PARTNER]=$A8)),0))</f>
        <v>0</v>
      </c>
      <c r="N8" s="43" cm="1">
        <f t="array" ref="N8">SUM(_xlfn._xlws.FILTER(Deduction_and_other_Revenue[Parking Tickets],((Deduction_and_other_Revenue[TYPE]=$A$5)*(Deduction_and_other_Revenue[PARTNER]=$A8)),0))</f>
        <v>0</v>
      </c>
      <c r="O8" s="41" cm="1">
        <f t="array" ref="O8">SUM(_xlfn._xlws.FILTER(Deduction_and_other_Revenue[Violation],((Deduction_and_other_Revenue[TYPE]=$A$5)*(Deduction_and_other_Revenue[PARTNER]=$A8)),0))</f>
        <v>0</v>
      </c>
      <c r="P8" s="41" cm="1">
        <f t="array" ref="P8">SUM(_xlfn._xlws.FILTER(Deduction_and_other_Revenue[Other Deductions],((Deduction_and_other_Revenue[TYPE]=$A$5)*(Deduction_and_other_Revenue[PARTNER]=$A8)),0))</f>
        <v>0</v>
      </c>
      <c r="Q8" s="44">
        <f t="shared" si="0"/>
        <v>15094.863999999998</v>
      </c>
      <c r="U8" s="89"/>
    </row>
    <row r="9" spans="1:21" x14ac:dyDescent="0.25">
      <c r="A9" s="46" t="str">
        <v>DEAN LOGISTICS SOLUTIONS LLC</v>
      </c>
      <c r="B9" s="53">
        <v>2555</v>
      </c>
      <c r="C9" s="40" t="str">
        <v>info@deanlogisticssolutions.com</v>
      </c>
      <c r="D9" s="41">
        <f>IFERROR(SUMIF(SumVDPMVReport[PARTNER NAME],$A9,SumVDPMVReport[Total Rev]),0)</f>
        <v>1210.29</v>
      </c>
      <c r="E9" s="41"/>
      <c r="F9" s="41">
        <f>IFERROR(SUMIF(SumVDPMVReport[PARTNER NAME],$A9,#REF!),0)</f>
        <v>0</v>
      </c>
      <c r="G9" s="42" cm="1">
        <f t="array" ref="G9">SUM(_xlfn._xlws.FILTER(Deduction_and_other_Revenue[Other Income],((Deduction_and_other_Revenue[TYPE]=$A$5)*(Deduction_and_other_Revenue[PARTNER]=$A9)),0))</f>
        <v>1952.2397000000001</v>
      </c>
      <c r="H9" s="41" cm="1">
        <f t="array" ref="H9">SUM(_xlfn._xlws.FILTER(Deduction_and_other_Revenue[Bonus],((Deduction_and_other_Revenue[TYPE]=$A$5)*(Deduction_and_other_Revenue[PARTNER]=$A9)),0))</f>
        <v>0</v>
      </c>
      <c r="I9" s="42" cm="1">
        <f t="array" ref="I9">SUM(_xlfn._xlws.FILTER(Deduction_and_other_Revenue[Reimbursement],((Deduction_and_other_Revenue[TYPE]=$A$5)*(Deduction_and_other_Revenue[PARTNER]=$A9)),0))</f>
        <v>0</v>
      </c>
      <c r="J9" s="41" cm="1">
        <f t="array" ref="J9">SUM(_xlfn._xlws.FILTER(Deduction_and_other_Revenue[Credentials],((Deduction_and_other_Revenue[TYPE]=$A$5)*(Deduction_and_other_Revenue[PARTNER]=$A9)),0))</f>
        <v>0</v>
      </c>
      <c r="K9" s="43" cm="1">
        <f t="array" ref="K9">SUM(_xlfn._xlws.FILTER(Deduction_and_other_Revenue[LIFT LEASE TOTAL],((Deduction_and_other_Revenue[TYPE]=$A$5)*(Deduction_and_other_Revenue[PARTNER]=$A9)),0))</f>
        <v>618</v>
      </c>
      <c r="L9" s="43" cm="1">
        <f t="array" ref="L9">SUM(_xlfn._xlws.FILTER(Deduction_and_other_Revenue[Tolls],((Deduction_and_other_Revenue[TYPE]=$A$5)*(Deduction_and_other_Revenue[PARTNER]=$A9)),0))</f>
        <v>0</v>
      </c>
      <c r="M9" s="43" cm="1">
        <f t="array" ref="M9">SUM(_xlfn._xlws.FILTER(Deduction_and_other_Revenue[Camera Tickets],((Deduction_and_other_Revenue[TYPE]=$A$5)*(Deduction_and_other_Revenue[PARTNER]=$A9)),0))</f>
        <v>0</v>
      </c>
      <c r="N9" s="43" cm="1">
        <f t="array" ref="N9">SUM(_xlfn._xlws.FILTER(Deduction_and_other_Revenue[Parking Tickets],((Deduction_and_other_Revenue[TYPE]=$A$5)*(Deduction_and_other_Revenue[PARTNER]=$A9)),0))</f>
        <v>0</v>
      </c>
      <c r="O9" s="41" cm="1">
        <f t="array" ref="O9">SUM(_xlfn._xlws.FILTER(Deduction_and_other_Revenue[Violation],((Deduction_and_other_Revenue[TYPE]=$A$5)*(Deduction_and_other_Revenue[PARTNER]=$A9)),0))</f>
        <v>75</v>
      </c>
      <c r="P9" s="41" cm="1">
        <f t="array" ref="P9">SUM(_xlfn._xlws.FILTER(Deduction_and_other_Revenue[Other Deductions],((Deduction_and_other_Revenue[TYPE]=$A$5)*(Deduction_and_other_Revenue[PARTNER]=$A9)),0))</f>
        <v>0</v>
      </c>
      <c r="Q9" s="44">
        <f t="shared" si="0"/>
        <v>2469.5297</v>
      </c>
      <c r="U9" s="89"/>
    </row>
    <row r="10" spans="1:21" x14ac:dyDescent="0.25">
      <c r="A10" s="46" t="str">
        <v>BEYOND EXPRESS</v>
      </c>
      <c r="B10" s="53">
        <v>2298</v>
      </c>
      <c r="C10" s="40" t="str">
        <v>jermel@bexconnect.com</v>
      </c>
      <c r="D10" s="41">
        <f>IFERROR(SUMIF(SumVDPMVReport[PARTNER NAME],$A10,SumVDPMVReport[Total Rev]),0)</f>
        <v>3266.41</v>
      </c>
      <c r="E10" s="41"/>
      <c r="F10" s="41">
        <f>IFERROR(SUMIF(SumVDPMVReport[PARTNER NAME],$A10,#REF!),0)</f>
        <v>0</v>
      </c>
      <c r="G10" s="42" cm="1">
        <f t="array" ref="G10">SUM(_xlfn._xlws.FILTER(Deduction_and_other_Revenue[Other Income],((Deduction_and_other_Revenue[TYPE]=$A$5)*(Deduction_and_other_Revenue[PARTNER]=$A10)),0))</f>
        <v>281.47750000000002</v>
      </c>
      <c r="H10" s="41" cm="1">
        <f t="array" ref="H10">SUM(_xlfn._xlws.FILTER(Deduction_and_other_Revenue[Bonus],((Deduction_and_other_Revenue[TYPE]=$A$5)*(Deduction_and_other_Revenue[PARTNER]=$A10)),0))</f>
        <v>0</v>
      </c>
      <c r="I10" s="42" cm="1">
        <f t="array" ref="I10">SUM(_xlfn._xlws.FILTER(Deduction_and_other_Revenue[Reimbursement],((Deduction_and_other_Revenue[TYPE]=$A$5)*(Deduction_and_other_Revenue[PARTNER]=$A10)),0))</f>
        <v>0</v>
      </c>
      <c r="J10" s="41" cm="1">
        <f t="array" ref="J10">SUM(_xlfn._xlws.FILTER(Deduction_and_other_Revenue[Credentials],((Deduction_and_other_Revenue[TYPE]=$A$5)*(Deduction_and_other_Revenue[PARTNER]=$A10)),0))</f>
        <v>0</v>
      </c>
      <c r="K10" s="43" cm="1">
        <f t="array" ref="K10">SUM(_xlfn._xlws.FILTER(Deduction_and_other_Revenue[LIFT LEASE TOTAL],((Deduction_and_other_Revenue[TYPE]=$A$5)*(Deduction_and_other_Revenue[PARTNER]=$A10)),0))</f>
        <v>618</v>
      </c>
      <c r="L10" s="43" cm="1">
        <f t="array" ref="L10">SUM(_xlfn._xlws.FILTER(Deduction_and_other_Revenue[Tolls],((Deduction_and_other_Revenue[TYPE]=$A$5)*(Deduction_and_other_Revenue[PARTNER]=$A10)),0))</f>
        <v>0</v>
      </c>
      <c r="M10" s="43" cm="1">
        <f t="array" ref="M10">SUM(_xlfn._xlws.FILTER(Deduction_and_other_Revenue[Camera Tickets],((Deduction_and_other_Revenue[TYPE]=$A$5)*(Deduction_and_other_Revenue[PARTNER]=$A10)),0))</f>
        <v>0</v>
      </c>
      <c r="N10" s="43" cm="1">
        <f t="array" ref="N10">SUM(_xlfn._xlws.FILTER(Deduction_and_other_Revenue[Parking Tickets],((Deduction_and_other_Revenue[TYPE]=$A$5)*(Deduction_and_other_Revenue[PARTNER]=$A10)),0))</f>
        <v>0</v>
      </c>
      <c r="O10" s="41" cm="1">
        <f t="array" ref="O10">SUM(_xlfn._xlws.FILTER(Deduction_and_other_Revenue[Violation],((Deduction_and_other_Revenue[TYPE]=$A$5)*(Deduction_and_other_Revenue[PARTNER]=$A10)),0))</f>
        <v>0</v>
      </c>
      <c r="P10" s="41" cm="1">
        <f t="array" ref="P10">SUM(_xlfn._xlws.FILTER(Deduction_and_other_Revenue[Other Deductions],((Deduction_and_other_Revenue[TYPE]=$A$5)*(Deduction_and_other_Revenue[PARTNER]=$A10)),0))</f>
        <v>0</v>
      </c>
      <c r="Q10" s="44">
        <f t="shared" si="0"/>
        <v>2929.8874999999998</v>
      </c>
      <c r="U10" s="89"/>
    </row>
    <row r="11" spans="1:21" x14ac:dyDescent="0.25">
      <c r="D11" s="41">
        <f>IFERROR(SUMIF(SumVDPMVReport[PARTNER NAME],$A11,SumVDPMVReport[Total Rev]),0)</f>
        <v>0</v>
      </c>
      <c r="E11" s="41"/>
      <c r="F11" s="41">
        <f>IFERROR(SUMIF(SumVDPMVReport[PARTNER NAME],$A11,#REF!),0)</f>
        <v>0</v>
      </c>
      <c r="G11" s="42" cm="1">
        <f t="array" ref="G11">SUM(_xlfn._xlws.FILTER(Deduction_and_other_Revenue[Other Income],((Deduction_and_other_Revenue[TYPE]=$A$5)*(Deduction_and_other_Revenue[PARTNER]=$A11)),0))</f>
        <v>0</v>
      </c>
      <c r="H11" s="41" cm="1">
        <f t="array" ref="H11">SUM(_xlfn._xlws.FILTER(Deduction_and_other_Revenue[Bonus],((Deduction_and_other_Revenue[TYPE]=$A$5)*(Deduction_and_other_Revenue[PARTNER]=$A11)),0))</f>
        <v>0</v>
      </c>
      <c r="I11" s="42" cm="1">
        <f t="array" ref="I11">SUM(_xlfn._xlws.FILTER(Deduction_and_other_Revenue[Reimbursement],((Deduction_and_other_Revenue[TYPE]=$A$5)*(Deduction_and_other_Revenue[PARTNER]=$A11)),0))</f>
        <v>0</v>
      </c>
      <c r="J11" s="41" cm="1">
        <f t="array" ref="J11">SUM(_xlfn._xlws.FILTER(Deduction_and_other_Revenue[Credentials],((Deduction_and_other_Revenue[TYPE]=$A$5)*(Deduction_and_other_Revenue[PARTNER]=$A11)),0))</f>
        <v>0</v>
      </c>
      <c r="K11" s="43" cm="1">
        <f t="array" ref="K11">SUM(_xlfn._xlws.FILTER(Deduction_and_other_Revenue[LIFT LEASE TOTAL],((Deduction_and_other_Revenue[TYPE]=$A$5)*(Deduction_and_other_Revenue[PARTNER]=$A11)),0))</f>
        <v>0</v>
      </c>
      <c r="L11" s="43" cm="1">
        <f t="array" ref="L11">SUM(_xlfn._xlws.FILTER(Deduction_and_other_Revenue[Tolls],((Deduction_and_other_Revenue[TYPE]=$A$5)*(Deduction_and_other_Revenue[PARTNER]=$A11)),0))</f>
        <v>0</v>
      </c>
      <c r="M11" s="43" cm="1">
        <f t="array" ref="M11">SUM(_xlfn._xlws.FILTER(Deduction_and_other_Revenue[Camera Tickets],((Deduction_and_other_Revenue[TYPE]=$A$5)*(Deduction_and_other_Revenue[PARTNER]=$A11)),0))</f>
        <v>0</v>
      </c>
      <c r="N11" s="43" cm="1">
        <f t="array" ref="N11">SUM(_xlfn._xlws.FILTER(Deduction_and_other_Revenue[Parking Tickets],((Deduction_and_other_Revenue[TYPE]=$A$5)*(Deduction_and_other_Revenue[PARTNER]=$A11)),0))</f>
        <v>0</v>
      </c>
      <c r="O11" s="41" cm="1">
        <f t="array" ref="O11">SUM(_xlfn._xlws.FILTER(Deduction_and_other_Revenue[Violation],((Deduction_and_other_Revenue[TYPE]=$A$5)*(Deduction_and_other_Revenue[PARTNER]=$A11)),0))</f>
        <v>0</v>
      </c>
      <c r="P11" s="41" cm="1">
        <f t="array" ref="P11">SUM(_xlfn._xlws.FILTER(Deduction_and_other_Revenue[Other Deductions],((Deduction_and_other_Revenue[TYPE]=$A$5)*(Deduction_and_other_Revenue[PARTNER]=$A11)),0))</f>
        <v>0</v>
      </c>
      <c r="Q11" s="44">
        <f t="shared" si="0"/>
        <v>0</v>
      </c>
    </row>
    <row r="12" spans="1:21" x14ac:dyDescent="0.25">
      <c r="D12" s="41">
        <f>IFERROR(SUMIF(SumVDPMVReport[PARTNER NAME],$A12,SumVDPMVReport[Total Rev]),0)</f>
        <v>0</v>
      </c>
      <c r="E12" s="41"/>
      <c r="F12" s="41">
        <f>IFERROR(SUMIF(SumVDPMVReport[PARTNER NAME],$A12,#REF!),0)</f>
        <v>0</v>
      </c>
      <c r="G12" s="42" cm="1">
        <f t="array" ref="G12">SUM(_xlfn._xlws.FILTER(Deduction_and_other_Revenue[Other Income],((Deduction_and_other_Revenue[TYPE]=$A$5)*(Deduction_and_other_Revenue[PARTNER]=$A12)),0))</f>
        <v>0</v>
      </c>
      <c r="H12" s="41" cm="1">
        <f t="array" ref="H12">SUM(_xlfn._xlws.FILTER(Deduction_and_other_Revenue[Bonus],((Deduction_and_other_Revenue[TYPE]=$A$5)*(Deduction_and_other_Revenue[PARTNER]=$A12)),0))</f>
        <v>0</v>
      </c>
      <c r="I12" s="42" cm="1">
        <f t="array" ref="I12">SUM(_xlfn._xlws.FILTER(Deduction_and_other_Revenue[Reimbursement],((Deduction_and_other_Revenue[TYPE]=$A$5)*(Deduction_and_other_Revenue[PARTNER]=$A12)),0))</f>
        <v>0</v>
      </c>
      <c r="J12" s="41" cm="1">
        <f t="array" ref="J12">SUM(_xlfn._xlws.FILTER(Deduction_and_other_Revenue[Credentials],((Deduction_and_other_Revenue[TYPE]=$A$5)*(Deduction_and_other_Revenue[PARTNER]=$A12)),0))</f>
        <v>0</v>
      </c>
      <c r="K12" s="43" cm="1">
        <f t="array" ref="K12">SUM(_xlfn._xlws.FILTER(Deduction_and_other_Revenue[LIFT LEASE TOTAL],((Deduction_and_other_Revenue[TYPE]=$A$5)*(Deduction_and_other_Revenue[PARTNER]=$A12)),0))</f>
        <v>0</v>
      </c>
      <c r="L12" s="43" cm="1">
        <f t="array" ref="L12">SUM(_xlfn._xlws.FILTER(Deduction_and_other_Revenue[Tolls],((Deduction_and_other_Revenue[TYPE]=$A$5)*(Deduction_and_other_Revenue[PARTNER]=$A12)),0))</f>
        <v>0</v>
      </c>
      <c r="M12" s="43" cm="1">
        <f t="array" ref="M12">SUM(_xlfn._xlws.FILTER(Deduction_and_other_Revenue[Camera Tickets],((Deduction_and_other_Revenue[TYPE]=$A$5)*(Deduction_and_other_Revenue[PARTNER]=$A12)),0))</f>
        <v>0</v>
      </c>
      <c r="N12" s="43" cm="1">
        <f t="array" ref="N12">SUM(_xlfn._xlws.FILTER(Deduction_and_other_Revenue[Parking Tickets],((Deduction_and_other_Revenue[TYPE]=$A$5)*(Deduction_and_other_Revenue[PARTNER]=$A12)),0))</f>
        <v>0</v>
      </c>
      <c r="O12" s="41" cm="1">
        <f t="array" ref="O12">SUM(_xlfn._xlws.FILTER(Deduction_and_other_Revenue[Violation],((Deduction_and_other_Revenue[TYPE]=$A$5)*(Deduction_and_other_Revenue[PARTNER]=$A12)),0))</f>
        <v>0</v>
      </c>
      <c r="P12" s="41" cm="1">
        <f t="array" ref="P12">SUM(_xlfn._xlws.FILTER(Deduction_and_other_Revenue[Other Deductions],((Deduction_and_other_Revenue[TYPE]=$A$5)*(Deduction_and_other_Revenue[PARTNER]=$A12)),0))</f>
        <v>0</v>
      </c>
      <c r="Q12" s="44">
        <f t="shared" si="0"/>
        <v>0</v>
      </c>
    </row>
    <row r="13" spans="1:21" x14ac:dyDescent="0.25">
      <c r="D13" s="41">
        <f>IFERROR(SUMIF(SumVDPMVReport[PARTNER NAME],$A13,SumVDPMVReport[Total Rev]),0)</f>
        <v>0</v>
      </c>
      <c r="E13" s="41"/>
      <c r="F13" s="41">
        <f>IFERROR(SUMIF(SumVDPMVReport[PARTNER NAME],$A13,#REF!),0)</f>
        <v>0</v>
      </c>
      <c r="G13" s="42" cm="1">
        <f t="array" ref="G13">SUM(_xlfn._xlws.FILTER(Deduction_and_other_Revenue[Other Income],((Deduction_and_other_Revenue[TYPE]=$A$5)*(Deduction_and_other_Revenue[PARTNER]=$A13)),0))</f>
        <v>0</v>
      </c>
      <c r="H13" s="41" cm="1">
        <f t="array" ref="H13">SUM(_xlfn._xlws.FILTER(Deduction_and_other_Revenue[Bonus],((Deduction_and_other_Revenue[TYPE]=$A$5)*(Deduction_and_other_Revenue[PARTNER]=$A13)),0))</f>
        <v>0</v>
      </c>
      <c r="I13" s="42" cm="1">
        <f t="array" ref="I13">SUM(_xlfn._xlws.FILTER(Deduction_and_other_Revenue[Reimbursement],((Deduction_and_other_Revenue[TYPE]=$A$5)*(Deduction_and_other_Revenue[PARTNER]=$A13)),0))</f>
        <v>0</v>
      </c>
      <c r="J13" s="41" cm="1">
        <f t="array" ref="J13">SUM(_xlfn._xlws.FILTER(Deduction_and_other_Revenue[Credentials],((Deduction_and_other_Revenue[TYPE]=$A$5)*(Deduction_and_other_Revenue[PARTNER]=$A13)),0))</f>
        <v>0</v>
      </c>
      <c r="K13" s="43" cm="1">
        <f t="array" ref="K13">SUM(_xlfn._xlws.FILTER(Deduction_and_other_Revenue[LIFT LEASE TOTAL],((Deduction_and_other_Revenue[TYPE]=$A$5)*(Deduction_and_other_Revenue[PARTNER]=$A13)),0))</f>
        <v>0</v>
      </c>
      <c r="L13" s="43" cm="1">
        <f t="array" ref="L13">SUM(_xlfn._xlws.FILTER(Deduction_and_other_Revenue[Tolls],((Deduction_and_other_Revenue[TYPE]=$A$5)*(Deduction_and_other_Revenue[PARTNER]=$A13)),0))</f>
        <v>0</v>
      </c>
      <c r="M13" s="43" cm="1">
        <f t="array" ref="M13">SUM(_xlfn._xlws.FILTER(Deduction_and_other_Revenue[Camera Tickets],((Deduction_and_other_Revenue[TYPE]=$A$5)*(Deduction_and_other_Revenue[PARTNER]=$A13)),0))</f>
        <v>0</v>
      </c>
      <c r="N13" s="43" cm="1">
        <f t="array" ref="N13">SUM(_xlfn._xlws.FILTER(Deduction_and_other_Revenue[Parking Tickets],((Deduction_and_other_Revenue[TYPE]=$A$5)*(Deduction_and_other_Revenue[PARTNER]=$A13)),0))</f>
        <v>0</v>
      </c>
      <c r="O13" s="41" cm="1">
        <f t="array" ref="O13">SUM(_xlfn._xlws.FILTER(Deduction_and_other_Revenue[Violation],((Deduction_and_other_Revenue[TYPE]=$A$5)*(Deduction_and_other_Revenue[PARTNER]=$A13)),0))</f>
        <v>0</v>
      </c>
      <c r="P13" s="41" cm="1">
        <f t="array" ref="P13">SUM(_xlfn._xlws.FILTER(Deduction_and_other_Revenue[Other Deductions],((Deduction_and_other_Revenue[TYPE]=$A$5)*(Deduction_and_other_Revenue[PARTNER]=$A13)),0))</f>
        <v>0</v>
      </c>
      <c r="Q13" s="44">
        <f t="shared" si="0"/>
        <v>0</v>
      </c>
    </row>
    <row r="14" spans="1:21" x14ac:dyDescent="0.25">
      <c r="D14" s="47">
        <f>SUM(D6:D13)</f>
        <v>39694.338099999994</v>
      </c>
      <c r="E14" s="47">
        <f>SUM(E6:E13)</f>
        <v>0</v>
      </c>
      <c r="F14" s="47">
        <f t="shared" ref="F14:Q14" si="1">SUM(F6:F13)</f>
        <v>0</v>
      </c>
      <c r="G14" s="47">
        <f t="shared" si="1"/>
        <v>6310.8131000000003</v>
      </c>
      <c r="H14" s="47">
        <f t="shared" si="1"/>
        <v>0</v>
      </c>
      <c r="I14" s="47">
        <f t="shared" si="1"/>
        <v>0</v>
      </c>
      <c r="J14" s="47">
        <f t="shared" si="1"/>
        <v>0</v>
      </c>
      <c r="K14" s="47">
        <f t="shared" si="1"/>
        <v>4314</v>
      </c>
      <c r="L14" s="47">
        <f t="shared" si="1"/>
        <v>0</v>
      </c>
      <c r="M14" s="47">
        <f t="shared" si="1"/>
        <v>0</v>
      </c>
      <c r="N14" s="47">
        <f t="shared" si="1"/>
        <v>0</v>
      </c>
      <c r="O14" s="47">
        <f t="shared" si="1"/>
        <v>125</v>
      </c>
      <c r="P14" s="47">
        <f t="shared" si="1"/>
        <v>8763.3700000000008</v>
      </c>
      <c r="Q14" s="47">
        <f t="shared" si="1"/>
        <v>32802.781199999998</v>
      </c>
    </row>
    <row r="17" spans="1:20" ht="15.75" x14ac:dyDescent="0.25">
      <c r="D17" s="48">
        <f>D14</f>
        <v>39694.338099999994</v>
      </c>
      <c r="E17" s="48">
        <f t="shared" ref="E17:S17" si="2">E14</f>
        <v>0</v>
      </c>
      <c r="F17" s="48">
        <f t="shared" si="2"/>
        <v>0</v>
      </c>
      <c r="G17" s="48">
        <f t="shared" si="2"/>
        <v>6310.8131000000003</v>
      </c>
      <c r="H17" s="48">
        <f t="shared" si="2"/>
        <v>0</v>
      </c>
      <c r="I17" s="48">
        <f t="shared" si="2"/>
        <v>0</v>
      </c>
      <c r="J17" s="48">
        <f t="shared" si="2"/>
        <v>0</v>
      </c>
      <c r="K17" s="48">
        <f t="shared" si="2"/>
        <v>4314</v>
      </c>
      <c r="L17" s="48">
        <f t="shared" si="2"/>
        <v>0</v>
      </c>
      <c r="M17" s="48">
        <f t="shared" si="2"/>
        <v>0</v>
      </c>
      <c r="N17" s="48">
        <f t="shared" si="2"/>
        <v>0</v>
      </c>
      <c r="O17" s="48">
        <f t="shared" si="2"/>
        <v>125</v>
      </c>
      <c r="P17" s="48">
        <f t="shared" si="2"/>
        <v>8763.3700000000008</v>
      </c>
      <c r="Q17" s="48">
        <f t="shared" si="2"/>
        <v>32802.781199999998</v>
      </c>
      <c r="R17" s="48">
        <f t="shared" si="2"/>
        <v>0</v>
      </c>
      <c r="S17" s="48">
        <f t="shared" si="2"/>
        <v>0</v>
      </c>
    </row>
    <row r="20" spans="1:20" ht="15" customHeight="1" x14ac:dyDescent="0.25"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</row>
    <row r="21" spans="1:20" ht="15" customHeight="1" x14ac:dyDescent="0.25">
      <c r="G21" s="89"/>
      <c r="P21" s="89"/>
    </row>
    <row r="26" spans="1:20" s="34" customFormat="1" ht="21.6" customHeight="1" x14ac:dyDescent="0.25">
      <c r="A26" s="46"/>
      <c r="B26" s="53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3"/>
    </row>
    <row r="27" spans="1:20" ht="15" customHeight="1" x14ac:dyDescent="0.25">
      <c r="T27" s="45"/>
    </row>
    <row r="28" spans="1:20" ht="15" customHeight="1" x14ac:dyDescent="0.25">
      <c r="T28" s="45"/>
    </row>
    <row r="29" spans="1:20" ht="15" customHeight="1" x14ac:dyDescent="0.25">
      <c r="T29" s="45"/>
    </row>
    <row r="30" spans="1:20" ht="15" customHeight="1" x14ac:dyDescent="0.25">
      <c r="T30" s="45"/>
    </row>
  </sheetData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6"/>
  <sheetViews>
    <sheetView workbookViewId="0">
      <selection activeCell="G14" sqref="G14"/>
    </sheetView>
  </sheetViews>
  <sheetFormatPr defaultRowHeight="15" x14ac:dyDescent="0.25"/>
  <cols>
    <col min="1" max="1" width="15.5703125" customWidth="1"/>
    <col min="3" max="3" width="5.7109375" bestFit="1" customWidth="1"/>
    <col min="4" max="4" width="11.85546875" customWidth="1"/>
    <col min="5" max="5" width="18.5703125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$D$2:$R$6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23</v>
      </c>
      <c r="L1" t="s">
        <v>22</v>
      </c>
      <c r="M1" t="s">
        <v>96</v>
      </c>
      <c r="N1" t="s">
        <v>97</v>
      </c>
      <c r="O1" t="s">
        <v>20</v>
      </c>
      <c r="P1" t="s">
        <v>27</v>
      </c>
      <c r="Q1" t="s">
        <v>98</v>
      </c>
      <c r="R1" t="s">
        <v>99</v>
      </c>
    </row>
    <row r="2" spans="1:18" x14ac:dyDescent="0.25">
      <c r="C2" cm="1">
        <f t="array" ref="C2:C6">INDEX(ROW(_xlfn.ANCHORARRAY(PR!$A6)),,1)</f>
        <v>6</v>
      </c>
      <c r="D2" t="str" cm="1">
        <f t="array" ref="D2:D6">IF(_xlfn.ANCHORARRAY(C2)&gt;0,PR!$A$1,"")</f>
        <v>DIV2-IL</v>
      </c>
      <c r="E2" t="str" cm="1">
        <f t="array" ref="E2:E6">IF(_xlfn.ANCHORARRAY(C2)&gt;0,TEXT(MIN(PayDate[Start]),"M/D/YY")&amp;",  "&amp;TEXT(MAX(PayDate[End]),"M/D/YY"),"")</f>
        <v>1/13/25,  1/26/25</v>
      </c>
      <c r="F2" cm="1">
        <f t="array" ref="F2:F6">INDEX(PR!B:B,_xlfn.ANCHORARRAY($C2))</f>
        <v>2338</v>
      </c>
      <c r="H2" cm="1">
        <f t="array" ref="H2:H6">INDEX(PR!D:D,_xlfn.ANCHORARRAY($C2))+INDEX(PR!E:E,_xlfn.ANCHORARRAY($C2))</f>
        <v>15723.99</v>
      </c>
      <c r="I2" cm="1">
        <f t="array" ref="I2:I6">INDEX(PR!F:F,_xlfn.ANCHORARRAY($C2))</f>
        <v>0</v>
      </c>
      <c r="J2" cm="1">
        <f t="array" ref="J2:J6">INDEX(PR!G:G,_xlfn.ANCHORARRAY($C2))</f>
        <v>0</v>
      </c>
      <c r="K2" cm="1">
        <f t="array" ref="K2:K6">INDEX(PR!I:I,_xlfn.ANCHORARRAY($C2))</f>
        <v>0</v>
      </c>
      <c r="L2" cm="1">
        <f t="array" ref="L2:L6">INDEX(PR!H:H,_xlfn.ANCHORARRAY($C2))</f>
        <v>0</v>
      </c>
      <c r="M2" cm="1">
        <f t="array" ref="M2:M6">INDEX(PR!J:J,_xlfn.ANCHORARRAY($C2))</f>
        <v>0</v>
      </c>
      <c r="N2" cm="1">
        <f t="array" ref="N2:N6">INDEX(PR!K:K,_xlfn.ANCHORARRAY($C2))</f>
        <v>1228</v>
      </c>
      <c r="O2" cm="1">
        <f t="array" ref="O2:O6">INDEX(PR!L:L,_xlfn.ANCHORARRAY($C2))+INDEX(PR!M:M,_xlfn.ANCHORARRAY($C2))+INDEX(PR!N:N,_xlfn.ANCHORARRAY($C2))+INDEX(PR!O:O,_xlfn.ANCHORARRAY($C2))</f>
        <v>50</v>
      </c>
      <c r="P2" cm="1">
        <f t="array" ref="P2:P6">INDEX(PR!P:P,_xlfn.ANCHORARRAY($C2))</f>
        <v>8763.3700000000008</v>
      </c>
    </row>
    <row r="3" spans="1:18" x14ac:dyDescent="0.25">
      <c r="C3">
        <v>7</v>
      </c>
      <c r="D3" t="str">
        <v>DIV2-IL</v>
      </c>
      <c r="E3" t="str">
        <v>1/13/25,  1/26/25</v>
      </c>
      <c r="F3">
        <v>2302</v>
      </c>
      <c r="H3">
        <v>7010.5</v>
      </c>
      <c r="I3">
        <v>0</v>
      </c>
      <c r="J3">
        <v>229.38</v>
      </c>
      <c r="K3">
        <v>0</v>
      </c>
      <c r="L3">
        <v>0</v>
      </c>
      <c r="M3">
        <v>0</v>
      </c>
      <c r="N3">
        <v>614</v>
      </c>
      <c r="O3">
        <v>0</v>
      </c>
      <c r="P3">
        <v>0</v>
      </c>
    </row>
    <row r="4" spans="1:18" x14ac:dyDescent="0.25">
      <c r="C4">
        <v>8</v>
      </c>
      <c r="D4" t="str">
        <v>DIV2-IL</v>
      </c>
      <c r="E4" t="str">
        <v>1/13/25,  1/26/25</v>
      </c>
      <c r="F4">
        <v>2313</v>
      </c>
      <c r="H4">
        <v>12483.148099999999</v>
      </c>
      <c r="I4">
        <v>0</v>
      </c>
      <c r="J4">
        <v>3847.7159000000001</v>
      </c>
      <c r="K4">
        <v>0</v>
      </c>
      <c r="L4">
        <v>0</v>
      </c>
      <c r="M4">
        <v>0</v>
      </c>
      <c r="N4">
        <v>1236</v>
      </c>
      <c r="O4">
        <v>0</v>
      </c>
      <c r="P4">
        <v>0</v>
      </c>
    </row>
    <row r="5" spans="1:18" x14ac:dyDescent="0.25">
      <c r="C5">
        <v>9</v>
      </c>
      <c r="D5" t="str">
        <v>DIV2-IL</v>
      </c>
      <c r="E5" t="str">
        <v>1/13/25,  1/26/25</v>
      </c>
      <c r="F5">
        <v>2555</v>
      </c>
      <c r="H5">
        <v>1210.29</v>
      </c>
      <c r="I5">
        <v>0</v>
      </c>
      <c r="J5">
        <v>1952.2397000000001</v>
      </c>
      <c r="K5">
        <v>0</v>
      </c>
      <c r="L5">
        <v>0</v>
      </c>
      <c r="M5">
        <v>0</v>
      </c>
      <c r="N5">
        <v>618</v>
      </c>
      <c r="O5">
        <v>75</v>
      </c>
      <c r="P5">
        <v>0</v>
      </c>
    </row>
    <row r="6" spans="1:18" x14ac:dyDescent="0.25">
      <c r="C6">
        <v>10</v>
      </c>
      <c r="D6" t="str">
        <v>DIV2-IL</v>
      </c>
      <c r="E6" t="str">
        <v>1/13/25,  1/26/25</v>
      </c>
      <c r="F6">
        <v>2298</v>
      </c>
      <c r="H6">
        <v>3266.41</v>
      </c>
      <c r="I6">
        <v>0</v>
      </c>
      <c r="J6">
        <v>281.47750000000002</v>
      </c>
      <c r="K6">
        <v>0</v>
      </c>
      <c r="L6">
        <v>0</v>
      </c>
      <c r="M6">
        <v>0</v>
      </c>
      <c r="N6">
        <v>618</v>
      </c>
      <c r="O6">
        <v>0</v>
      </c>
      <c r="P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J39"/>
  <sheetViews>
    <sheetView showGridLines="0" zoomScaleNormal="100" workbookViewId="0">
      <selection activeCell="D6" sqref="D6:D7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140625" style="4" bestFit="1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3" width="10.28515625" style="6" customWidth="1"/>
    <col min="24" max="24" width="22.8554687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8.85546875" style="6"/>
    <col min="30" max="30" width="16.28515625" style="6" customWidth="1"/>
    <col min="31" max="31" width="9.5703125" style="49" bestFit="1" customWidth="1"/>
    <col min="32" max="35" width="8.85546875" style="6"/>
    <col min="36" max="36" width="8.85546875" style="64"/>
    <col min="37" max="16384" width="8.85546875" style="6"/>
  </cols>
  <sheetData>
    <row r="1" spans="2:36" ht="9" customHeight="1" thickBot="1" x14ac:dyDescent="0.3">
      <c r="V1" s="8"/>
      <c r="W1" s="8"/>
      <c r="X1" s="8"/>
      <c r="AA1" s="6"/>
      <c r="AB1" s="6"/>
      <c r="AD1" s="8"/>
      <c r="AE1" s="3"/>
      <c r="AF1" s="8"/>
      <c r="AJ1" s="6"/>
    </row>
    <row r="2" spans="2:36" ht="21" customHeight="1" thickBot="1" x14ac:dyDescent="0.3">
      <c r="B2" s="120" t="s">
        <v>44</v>
      </c>
      <c r="C2" s="120"/>
      <c r="D2" s="120"/>
      <c r="E2" s="120"/>
      <c r="F2" s="120"/>
      <c r="H2" s="28" t="s">
        <v>104</v>
      </c>
      <c r="I2" s="29">
        <f>SUM($V$8,$Y$6)-$AB$7</f>
        <v>2469.5297</v>
      </c>
      <c r="M2" s="8"/>
      <c r="V2" s="8"/>
      <c r="X2" s="95" t="s">
        <v>105</v>
      </c>
      <c r="Y2" s="95"/>
      <c r="AA2" s="130" t="s">
        <v>106</v>
      </c>
      <c r="AB2" s="130"/>
      <c r="AD2" s="130" t="s">
        <v>108</v>
      </c>
      <c r="AE2" s="130"/>
      <c r="AF2" s="8"/>
      <c r="AH2" s="9"/>
      <c r="AI2" s="9"/>
      <c r="AJ2" s="9"/>
    </row>
    <row r="3" spans="2:36" x14ac:dyDescent="0.25">
      <c r="F3" s="68"/>
      <c r="G3" s="69"/>
      <c r="V3" s="8"/>
      <c r="X3" s="13" t="s">
        <v>109</v>
      </c>
      <c r="Y3" s="22">
        <f>SUMIF(Deduction_and_other_Revenue[PARTNER],$B$2,Deduction_and_other_Revenue[Bonus])</f>
        <v>0</v>
      </c>
      <c r="AA3" s="9" t="s">
        <v>84</v>
      </c>
      <c r="AB3" s="10">
        <f>SUMIF(Deduction_and_other_Revenue[PARTNER],$B$2,Deduction_and_other_Revenue[Credentials])</f>
        <v>0</v>
      </c>
      <c r="AD3" s="9" t="s">
        <v>24</v>
      </c>
      <c r="AE3" s="10">
        <f>SUMIF(Deduction_and_other_Revenue[PARTNER],$B$2,Deduction_and_other_Revenue[Tolls])</f>
        <v>0</v>
      </c>
      <c r="AF3" s="8"/>
      <c r="AJ3" s="6"/>
    </row>
    <row r="4" spans="2:36" ht="20.45" customHeight="1" x14ac:dyDescent="0.25">
      <c r="G4" s="6"/>
      <c r="H4" s="67"/>
      <c r="J4" s="124" t="s">
        <v>111</v>
      </c>
      <c r="K4" s="125"/>
      <c r="L4" s="126"/>
      <c r="M4" s="121" t="s">
        <v>112</v>
      </c>
      <c r="N4" s="122"/>
      <c r="O4" s="122"/>
      <c r="P4" s="123"/>
      <c r="X4" s="14" t="s">
        <v>113</v>
      </c>
      <c r="Y4" s="22">
        <f>SUMIF(Deduction_and_other_Revenue[PARTNER],$B$2,Deduction_and_other_Revenue[Other Income])</f>
        <v>1952.2397000000001</v>
      </c>
      <c r="AA4" s="9" t="s">
        <v>17</v>
      </c>
      <c r="AB4" s="10">
        <f>SUMIF(Deduction_and_other_Revenue[PARTNER],$B$2,Deduction_and_other_Revenue[LIFT LEASE TOTAL])</f>
        <v>618</v>
      </c>
      <c r="AD4" s="9" t="s">
        <v>25</v>
      </c>
      <c r="AE4" s="10">
        <f>SUMIF(Deduction_and_other_Revenue[PARTNER],$B$2,Deduction_and_other_Revenue[Camera Tickets])</f>
        <v>0</v>
      </c>
      <c r="AF4" s="8"/>
      <c r="AJ4" s="6"/>
    </row>
    <row r="5" spans="2:36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77" t="s">
        <v>131</v>
      </c>
      <c r="X5" s="14" t="s">
        <v>83</v>
      </c>
      <c r="Y5" s="23">
        <f>SUMIF(Deduction_and_other_Revenue[PARTNER],$B$2,Deduction_and_other_Revenue[Reimbursement])</f>
        <v>0</v>
      </c>
      <c r="AA5" s="9" t="s">
        <v>27</v>
      </c>
      <c r="AB5" s="10">
        <f>SUMIF(Deduction_and_other_Revenue[PARTNER],$B$2,Deduction_and_other_Revenue[Other Deductions])</f>
        <v>0</v>
      </c>
      <c r="AD5" s="9" t="s">
        <v>26</v>
      </c>
      <c r="AE5" s="10">
        <f>SUMIF(Deduction_and_other_Revenue[PARTNER],$B$2,Deduction_and_other_Revenue[Parking Tickets])</f>
        <v>0</v>
      </c>
      <c r="AF5" s="8"/>
      <c r="AJ5" s="6"/>
    </row>
    <row r="6" spans="2:36" x14ac:dyDescent="0.25">
      <c r="B6" s="7" t="str" cm="1">
        <f t="array" ref="B6:V7">_xlfn._xlws.FILTER(SumVDPMVReport[[WeekN]:[Total Rev]],SumVDPMVReport[PARTNER NAME]=$B$2,"No Data for the Selected Partner")</f>
        <v>Week1</v>
      </c>
      <c r="C6" s="69">
        <v>50</v>
      </c>
      <c r="D6" s="4">
        <v>40.46</v>
      </c>
      <c r="E6" s="4">
        <v>40.46</v>
      </c>
      <c r="F6" s="4">
        <v>0</v>
      </c>
      <c r="G6" s="67">
        <v>0.80920000000000003</v>
      </c>
      <c r="H6" s="74">
        <v>0</v>
      </c>
      <c r="I6" s="8">
        <v>0</v>
      </c>
      <c r="J6" s="8">
        <v>0</v>
      </c>
      <c r="K6" s="8">
        <v>0</v>
      </c>
      <c r="L6" s="74">
        <v>0</v>
      </c>
      <c r="M6" s="87">
        <v>0.95327102803738295</v>
      </c>
      <c r="N6" s="87">
        <v>1.9607843137254902E-2</v>
      </c>
      <c r="O6" s="8">
        <v>0</v>
      </c>
      <c r="P6" s="74">
        <v>0</v>
      </c>
      <c r="Q6" s="87">
        <v>0.90336134453781503</v>
      </c>
      <c r="R6" s="8">
        <v>0</v>
      </c>
      <c r="S6" s="8">
        <v>67.069999999999993</v>
      </c>
      <c r="T6" s="8">
        <v>1.5</v>
      </c>
      <c r="U6" s="8">
        <v>839.33</v>
      </c>
      <c r="V6" s="8">
        <v>907.9</v>
      </c>
      <c r="X6" s="51" t="s">
        <v>132</v>
      </c>
      <c r="Y6" s="52">
        <f>SUM(Y3:Y5)</f>
        <v>1952.2397000000001</v>
      </c>
      <c r="AA6" s="11" t="s">
        <v>30</v>
      </c>
      <c r="AB6" s="12">
        <f>SUMIF(Deduction_and_other_Revenue[PARTNER],$B$2,Deduction_and_other_Revenue[Total Violation])</f>
        <v>75</v>
      </c>
      <c r="AD6" s="11" t="s">
        <v>133</v>
      </c>
      <c r="AE6" s="12">
        <f>SUMIF(Deduction_and_other_Revenue[PARTNER],$B$2,Deduction_and_other_Revenue[Violation])</f>
        <v>75</v>
      </c>
      <c r="AF6" s="8"/>
      <c r="AJ6" s="6"/>
    </row>
    <row r="7" spans="2:36" ht="15.75" thickBot="1" x14ac:dyDescent="0.3">
      <c r="B7" s="7" t="str">
        <v>Week2</v>
      </c>
      <c r="C7" s="69">
        <v>50</v>
      </c>
      <c r="D7" s="4">
        <v>12.93</v>
      </c>
      <c r="E7" s="4">
        <v>12.93</v>
      </c>
      <c r="F7" s="4">
        <v>0</v>
      </c>
      <c r="G7" s="67">
        <v>0.2586</v>
      </c>
      <c r="H7" s="74">
        <v>0</v>
      </c>
      <c r="I7" s="8">
        <v>0</v>
      </c>
      <c r="J7" s="8">
        <v>0</v>
      </c>
      <c r="K7" s="8">
        <v>0</v>
      </c>
      <c r="L7" s="74">
        <v>0</v>
      </c>
      <c r="M7" s="87">
        <v>0.96875</v>
      </c>
      <c r="N7" s="87">
        <v>3.2258064516128997E-2</v>
      </c>
      <c r="O7" s="8">
        <v>0</v>
      </c>
      <c r="P7" s="74">
        <v>0</v>
      </c>
      <c r="Q7" s="87">
        <v>0.99226604795050299</v>
      </c>
      <c r="R7" s="8">
        <v>0</v>
      </c>
      <c r="S7" s="8">
        <v>36.81</v>
      </c>
      <c r="T7" s="8">
        <v>0</v>
      </c>
      <c r="U7" s="8">
        <v>265.58</v>
      </c>
      <c r="V7" s="8">
        <v>302.39</v>
      </c>
      <c r="W7" s="8"/>
      <c r="X7" s="8"/>
      <c r="Y7" s="15"/>
      <c r="AA7" s="9" t="s">
        <v>106</v>
      </c>
      <c r="AB7" s="10">
        <f>IFERROR(SUM(AB3:AB6),0)</f>
        <v>693</v>
      </c>
      <c r="AD7" s="9" t="s">
        <v>30</v>
      </c>
      <c r="AE7" s="10">
        <f>SUM(AE3:AE6)</f>
        <v>75</v>
      </c>
      <c r="AF7" s="8"/>
      <c r="AJ7" s="6"/>
    </row>
    <row r="8" spans="2:36" x14ac:dyDescent="0.25">
      <c r="B8" s="25" t="s">
        <v>134</v>
      </c>
      <c r="C8" s="76">
        <f>SUM(C6:C7)</f>
        <v>100</v>
      </c>
      <c r="D8" s="26">
        <f t="shared" ref="D8:F8" si="0">SUM(D6:D7)</f>
        <v>53.39</v>
      </c>
      <c r="E8" s="26">
        <f t="shared" si="0"/>
        <v>53.39</v>
      </c>
      <c r="F8" s="26">
        <f t="shared" si="0"/>
        <v>0</v>
      </c>
      <c r="G8" s="76"/>
      <c r="H8" s="86">
        <f>SUM(H6:H7)</f>
        <v>0</v>
      </c>
      <c r="I8" s="27">
        <f>SUM(I6:I7)</f>
        <v>0</v>
      </c>
      <c r="J8" s="27">
        <f t="shared" ref="J8:O8" si="1">SUM(J6:J7)</f>
        <v>0</v>
      </c>
      <c r="K8" s="27">
        <f t="shared" si="1"/>
        <v>0</v>
      </c>
      <c r="L8" s="27">
        <f t="shared" si="1"/>
        <v>0</v>
      </c>
      <c r="M8" s="26"/>
      <c r="N8" s="88"/>
      <c r="O8" s="27">
        <f t="shared" si="1"/>
        <v>0</v>
      </c>
      <c r="P8" s="27">
        <f>SUM(P6:P7)</f>
        <v>0</v>
      </c>
      <c r="Q8" s="88"/>
      <c r="R8" s="27">
        <f>SUM(R6:R7)</f>
        <v>0</v>
      </c>
      <c r="S8" s="27">
        <f>SUM(S6:S7)</f>
        <v>103.88</v>
      </c>
      <c r="T8" s="27">
        <f>SUM(T6:T7)</f>
        <v>1.5</v>
      </c>
      <c r="U8" s="27">
        <f>SUM(U6:U7)</f>
        <v>1104.9100000000001</v>
      </c>
      <c r="V8" s="27">
        <f>SUM(V6:V7)</f>
        <v>1210.29</v>
      </c>
      <c r="X8" s="6"/>
      <c r="AA8" s="6"/>
      <c r="AB8" s="6"/>
      <c r="AD8" s="8"/>
      <c r="AE8" s="3"/>
      <c r="AF8" s="8"/>
      <c r="AJ8" s="6"/>
    </row>
    <row r="9" spans="2:36" ht="22.9" customHeight="1" thickBot="1" x14ac:dyDescent="0.3">
      <c r="F9" s="68"/>
      <c r="G9" s="69"/>
      <c r="V9" s="8"/>
      <c r="W9" s="8"/>
      <c r="X9" s="8"/>
      <c r="AA9" s="6"/>
      <c r="AB9" s="6"/>
      <c r="AD9" s="8"/>
      <c r="AE9" s="3"/>
      <c r="AF9" s="8"/>
      <c r="AJ9" s="6"/>
    </row>
    <row r="10" spans="2:36" ht="21.75" thickBot="1" x14ac:dyDescent="0.3">
      <c r="B10" s="127" t="s">
        <v>135</v>
      </c>
      <c r="C10" s="128"/>
      <c r="D10" s="128"/>
      <c r="E10" s="128"/>
      <c r="F10" s="128"/>
      <c r="G10" s="128"/>
      <c r="H10" s="128"/>
      <c r="I10" s="128"/>
      <c r="J10" s="128"/>
      <c r="K10" s="128"/>
      <c r="L10" s="128"/>
      <c r="M10" s="129"/>
      <c r="N10" s="6"/>
      <c r="O10" s="6"/>
      <c r="P10" s="6"/>
      <c r="Q10" s="6"/>
      <c r="R10" s="6"/>
      <c r="S10" s="6"/>
      <c r="T10" s="6"/>
      <c r="U10" s="6"/>
      <c r="X10" s="131" t="s">
        <v>136</v>
      </c>
      <c r="Y10" s="132"/>
      <c r="Z10" s="132"/>
      <c r="AA10" s="6"/>
      <c r="AB10" s="6"/>
      <c r="AE10" s="6"/>
      <c r="AJ10" s="6"/>
    </row>
    <row r="11" spans="2:36" ht="30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91" t="s">
        <v>145</v>
      </c>
      <c r="M11" s="91" t="s">
        <v>24</v>
      </c>
      <c r="N11" s="6"/>
      <c r="O11" s="6"/>
      <c r="P11" s="6"/>
      <c r="Q11" s="6"/>
      <c r="R11" s="6"/>
      <c r="S11" s="6"/>
      <c r="T11" s="6"/>
      <c r="U11" s="6"/>
      <c r="X11" s="21" t="s">
        <v>16</v>
      </c>
      <c r="Y11" s="50" t="s">
        <v>146</v>
      </c>
      <c r="Z11" s="21" t="s">
        <v>18</v>
      </c>
      <c r="AA11" s="6"/>
      <c r="AB11" s="6"/>
      <c r="AE11" s="6"/>
      <c r="AJ11" s="6"/>
    </row>
    <row r="12" spans="2:36" x14ac:dyDescent="0.25">
      <c r="B12" s="7" cm="1">
        <f t="array" ref="B12:M13">_xlfn._xlws.FILTER(VDPMVReport[[Week]:[Tolls]],VDPMVReport[PARTNER NAME]=$B$2,"No Data for the Selected Partner")</f>
        <v>45670</v>
      </c>
      <c r="C12" s="6" t="str">
        <v>David</v>
      </c>
      <c r="D12" s="6" t="str">
        <v>Rodgers</v>
      </c>
      <c r="E12" s="6">
        <v>84</v>
      </c>
      <c r="F12" s="66">
        <v>0.95327102803738317</v>
      </c>
      <c r="G12" s="67">
        <v>1.9607843137254902E-2</v>
      </c>
      <c r="H12" s="5">
        <v>40.79</v>
      </c>
      <c r="I12" s="5">
        <v>0.33</v>
      </c>
      <c r="J12" s="4">
        <v>40.46</v>
      </c>
      <c r="K12" s="4">
        <v>839.33</v>
      </c>
      <c r="L12" s="3">
        <v>67.069999999999993</v>
      </c>
      <c r="M12" s="3">
        <v>1.5</v>
      </c>
      <c r="X12" s="8" cm="1">
        <f t="array" ref="X12:Z12">_xlfn._xlws.FILTER(Deduction_and_other_Revenue[[ Lift Lease Rate]:[LIFT LEASE TOTAL]],Deduction_and_other_Revenue[PARTNER]=$B$2,"No Data for the Selected Partner")</f>
        <v>309</v>
      </c>
      <c r="Y12" s="3">
        <v>2</v>
      </c>
      <c r="Z12" s="8">
        <v>618</v>
      </c>
      <c r="AA12" s="6"/>
      <c r="AB12" s="6"/>
      <c r="AE12" s="6"/>
      <c r="AJ12" s="6"/>
    </row>
    <row r="13" spans="2:36" x14ac:dyDescent="0.25">
      <c r="B13" s="7">
        <v>45677</v>
      </c>
      <c r="C13" s="6" t="str">
        <v>David</v>
      </c>
      <c r="D13" s="6" t="str">
        <v>Rodgers</v>
      </c>
      <c r="E13" s="6">
        <v>30</v>
      </c>
      <c r="F13" s="66">
        <v>0.96875</v>
      </c>
      <c r="G13" s="67">
        <v>3.2258064516129031E-2</v>
      </c>
      <c r="H13" s="5">
        <v>12.93</v>
      </c>
      <c r="I13" s="5">
        <v>0</v>
      </c>
      <c r="J13" s="4">
        <v>12.93</v>
      </c>
      <c r="K13" s="4">
        <v>265.58</v>
      </c>
      <c r="L13" s="3">
        <v>36.81</v>
      </c>
      <c r="M13" s="3">
        <v>0</v>
      </c>
    </row>
    <row r="33" spans="5:12" x14ac:dyDescent="0.25">
      <c r="E33" s="90"/>
    </row>
    <row r="39" spans="5:12" x14ac:dyDescent="0.25">
      <c r="L39" s="4"/>
    </row>
  </sheetData>
  <mergeCells count="7">
    <mergeCell ref="B2:F2"/>
    <mergeCell ref="M4:P4"/>
    <mergeCell ref="J4:L4"/>
    <mergeCell ref="B10:M10"/>
    <mergeCell ref="AD2:AE2"/>
    <mergeCell ref="X10:Z10"/>
    <mergeCell ref="AA2:AB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K38"/>
  <sheetViews>
    <sheetView workbookViewId="0"/>
  </sheetViews>
  <sheetFormatPr defaultRowHeight="15" x14ac:dyDescent="0.25"/>
  <cols>
    <col min="1" max="1" width="9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7.710937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29" width="18.140625" bestFit="1" customWidth="1"/>
    <col min="30" max="30" width="17" bestFit="1" customWidth="1"/>
    <col min="31" max="32" width="19.85546875" bestFit="1" customWidth="1"/>
    <col min="33" max="33" width="12.42578125" bestFit="1" customWidth="1"/>
    <col min="34" max="34" width="11.7109375" bestFit="1" customWidth="1"/>
    <col min="35" max="35" width="20.42578125" bestFit="1" customWidth="1"/>
    <col min="36" max="36" width="29.7109375" bestFit="1" customWidth="1"/>
    <col min="37" max="37" width="18.7109375" bestFit="1" customWidth="1"/>
    <col min="38" max="38" width="19.28515625" bestFit="1" customWidth="1"/>
    <col min="39" max="39" width="18" bestFit="1" customWidth="1"/>
    <col min="40" max="40" width="11.28515625" bestFit="1" customWidth="1"/>
    <col min="41" max="41" width="19.28515625" bestFit="1" customWidth="1"/>
    <col min="42" max="42" width="18" bestFit="1" customWidth="1"/>
    <col min="43" max="43" width="10.7109375" bestFit="1" customWidth="1"/>
    <col min="44" max="44" width="14.7109375" bestFit="1" customWidth="1"/>
    <col min="45" max="45" width="13.7109375" bestFit="1" customWidth="1"/>
    <col min="46" max="46" width="8.85546875" bestFit="1" customWidth="1"/>
    <col min="47" max="47" width="16" bestFit="1" customWidth="1"/>
    <col min="48" max="48" width="18.140625" bestFit="1" customWidth="1"/>
    <col min="49" max="49" width="17" bestFit="1" customWidth="1"/>
    <col min="50" max="51" width="18.42578125" bestFit="1" customWidth="1"/>
    <col min="52" max="52" width="17.42578125" bestFit="1" customWidth="1"/>
    <col min="53" max="53" width="11.7109375" bestFit="1" customWidth="1"/>
    <col min="54" max="54" width="12.42578125" bestFit="1" customWidth="1"/>
    <col min="55" max="55" width="22.140625" bestFit="1" customWidth="1"/>
    <col min="56" max="56" width="18.5703125" bestFit="1" customWidth="1"/>
    <col min="57" max="57" width="11.42578125" bestFit="1" customWidth="1"/>
    <col min="58" max="58" width="15.5703125" bestFit="1" customWidth="1"/>
    <col min="59" max="59" width="14.28515625" bestFit="1" customWidth="1"/>
    <col min="60" max="60" width="10" bestFit="1" customWidth="1"/>
    <col min="61" max="61" width="18.5703125" bestFit="1" customWidth="1"/>
    <col min="62" max="62" width="18.28515625" bestFit="1" customWidth="1"/>
    <col min="63" max="63" width="11.5703125" bestFit="1" customWidth="1"/>
    <col min="64" max="64" width="10.7109375" bestFit="1" customWidth="1"/>
    <col min="65" max="65" width="22.28515625" bestFit="1" customWidth="1"/>
  </cols>
  <sheetData>
    <row r="1" spans="1:37" x14ac:dyDescent="0.25">
      <c r="A1" t="s">
        <v>138</v>
      </c>
      <c r="B1" t="s">
        <v>139</v>
      </c>
      <c r="C1" t="s">
        <v>140</v>
      </c>
      <c r="D1" t="s">
        <v>141</v>
      </c>
      <c r="E1" t="s">
        <v>125</v>
      </c>
      <c r="F1" t="s">
        <v>126</v>
      </c>
      <c r="G1" t="s">
        <v>142</v>
      </c>
      <c r="H1" t="s">
        <v>143</v>
      </c>
      <c r="I1" t="s">
        <v>116</v>
      </c>
      <c r="J1" t="s">
        <v>144</v>
      </c>
      <c r="K1" t="s">
        <v>145</v>
      </c>
      <c r="L1" t="s">
        <v>24</v>
      </c>
      <c r="M1" t="s">
        <v>149</v>
      </c>
      <c r="N1" t="s">
        <v>150</v>
      </c>
      <c r="O1" t="s">
        <v>151</v>
      </c>
      <c r="P1" t="s">
        <v>152</v>
      </c>
      <c r="Q1" t="s">
        <v>153</v>
      </c>
      <c r="R1" t="s">
        <v>154</v>
      </c>
      <c r="S1" t="s">
        <v>155</v>
      </c>
      <c r="T1" t="s">
        <v>156</v>
      </c>
      <c r="U1" t="s">
        <v>157</v>
      </c>
      <c r="V1" t="s">
        <v>158</v>
      </c>
      <c r="W1" t="s">
        <v>159</v>
      </c>
      <c r="X1" t="s">
        <v>160</v>
      </c>
      <c r="Y1" t="s">
        <v>161</v>
      </c>
      <c r="Z1" t="s">
        <v>162</v>
      </c>
      <c r="AA1" t="s">
        <v>163</v>
      </c>
      <c r="AB1" t="s">
        <v>114</v>
      </c>
      <c r="AC1" t="s">
        <v>5</v>
      </c>
      <c r="AD1" t="s">
        <v>6</v>
      </c>
      <c r="AE1" t="s">
        <v>8</v>
      </c>
      <c r="AF1" t="s">
        <v>9</v>
      </c>
      <c r="AG1" t="s">
        <v>10</v>
      </c>
      <c r="AH1" t="s">
        <v>164</v>
      </c>
      <c r="AI1" t="s">
        <v>165</v>
      </c>
      <c r="AJ1" t="s">
        <v>166</v>
      </c>
      <c r="AK1" t="s">
        <v>7</v>
      </c>
    </row>
    <row r="2" spans="1:37" hidden="1" x14ac:dyDescent="0.25">
      <c r="A2" s="2">
        <v>45670</v>
      </c>
      <c r="B2" t="s">
        <v>362</v>
      </c>
      <c r="C2" t="s">
        <v>363</v>
      </c>
      <c r="D2">
        <v>13</v>
      </c>
      <c r="E2">
        <v>0.875</v>
      </c>
      <c r="F2">
        <v>0</v>
      </c>
      <c r="G2">
        <v>25.76</v>
      </c>
      <c r="H2">
        <v>0.04</v>
      </c>
      <c r="I2">
        <v>25.720000000000002</v>
      </c>
      <c r="J2">
        <v>187.77999999999901</v>
      </c>
      <c r="K2">
        <v>3</v>
      </c>
      <c r="L2">
        <v>0</v>
      </c>
      <c r="M2" t="s">
        <v>364</v>
      </c>
      <c r="N2">
        <v>2</v>
      </c>
      <c r="O2">
        <v>11</v>
      </c>
      <c r="P2">
        <v>25.37</v>
      </c>
      <c r="Q2">
        <v>0</v>
      </c>
      <c r="R2">
        <v>0.35</v>
      </c>
      <c r="S2">
        <v>14.55</v>
      </c>
      <c r="T2">
        <v>14.54</v>
      </c>
      <c r="U2">
        <v>0.5</v>
      </c>
      <c r="V2">
        <v>14</v>
      </c>
      <c r="W2">
        <v>2</v>
      </c>
      <c r="X2">
        <v>0</v>
      </c>
      <c r="Y2">
        <v>0</v>
      </c>
      <c r="Z2">
        <v>0</v>
      </c>
      <c r="AA2">
        <v>25.720000000000002</v>
      </c>
      <c r="AB2" t="s">
        <v>12</v>
      </c>
      <c r="AC2">
        <v>70</v>
      </c>
      <c r="AD2">
        <v>20</v>
      </c>
      <c r="AE2">
        <v>0.1</v>
      </c>
      <c r="AF2">
        <v>0.05</v>
      </c>
      <c r="AH2">
        <v>0</v>
      </c>
      <c r="AI2" t="s">
        <v>167</v>
      </c>
      <c r="AJ2" t="s">
        <v>48</v>
      </c>
      <c r="AK2">
        <v>0.7</v>
      </c>
    </row>
    <row r="3" spans="1:37" hidden="1" x14ac:dyDescent="0.25">
      <c r="A3" s="2">
        <v>45670</v>
      </c>
      <c r="B3" t="s">
        <v>329</v>
      </c>
      <c r="C3" t="s">
        <v>330</v>
      </c>
      <c r="D3">
        <v>39</v>
      </c>
      <c r="E3">
        <v>1</v>
      </c>
      <c r="F3">
        <v>2.3255813953488372E-2</v>
      </c>
      <c r="G3">
        <v>37.409999999999997</v>
      </c>
      <c r="H3">
        <v>0.1</v>
      </c>
      <c r="I3">
        <v>37.309999999999995</v>
      </c>
      <c r="J3">
        <v>377.87</v>
      </c>
      <c r="K3">
        <v>5</v>
      </c>
      <c r="L3">
        <v>0</v>
      </c>
      <c r="M3" t="s">
        <v>331</v>
      </c>
      <c r="N3">
        <v>5</v>
      </c>
      <c r="O3">
        <v>34</v>
      </c>
      <c r="P3">
        <v>18.43</v>
      </c>
      <c r="Q3">
        <v>0</v>
      </c>
      <c r="R3">
        <v>18.88</v>
      </c>
      <c r="S3">
        <v>11.29</v>
      </c>
      <c r="T3">
        <v>10.33</v>
      </c>
      <c r="U3">
        <v>1.04</v>
      </c>
      <c r="V3">
        <v>43</v>
      </c>
      <c r="W3">
        <v>0</v>
      </c>
      <c r="X3">
        <v>1</v>
      </c>
      <c r="Y3">
        <v>37.309999999999995</v>
      </c>
      <c r="Z3">
        <v>0</v>
      </c>
      <c r="AA3">
        <v>0</v>
      </c>
      <c r="AB3" t="s">
        <v>12</v>
      </c>
      <c r="AC3">
        <v>70</v>
      </c>
      <c r="AD3">
        <v>20</v>
      </c>
      <c r="AE3">
        <v>0.1</v>
      </c>
      <c r="AF3">
        <v>0.05</v>
      </c>
      <c r="AH3">
        <v>37.309999999999995</v>
      </c>
      <c r="AI3" t="s">
        <v>239</v>
      </c>
      <c r="AJ3" t="s">
        <v>48</v>
      </c>
      <c r="AK3">
        <v>0.7</v>
      </c>
    </row>
    <row r="4" spans="1:37" hidden="1" x14ac:dyDescent="0.25">
      <c r="A4" s="2">
        <v>45677</v>
      </c>
      <c r="B4" t="s">
        <v>329</v>
      </c>
      <c r="C4" t="s">
        <v>330</v>
      </c>
      <c r="D4">
        <v>57</v>
      </c>
      <c r="E4">
        <v>1</v>
      </c>
      <c r="F4">
        <v>0</v>
      </c>
      <c r="G4">
        <v>36.22</v>
      </c>
      <c r="H4">
        <v>0</v>
      </c>
      <c r="I4">
        <v>36.22</v>
      </c>
      <c r="J4">
        <v>478.28</v>
      </c>
      <c r="K4">
        <v>10.94</v>
      </c>
      <c r="L4">
        <v>0</v>
      </c>
      <c r="M4" t="s">
        <v>331</v>
      </c>
      <c r="N4">
        <v>7</v>
      </c>
      <c r="O4">
        <v>50</v>
      </c>
      <c r="P4">
        <v>22.56</v>
      </c>
      <c r="Q4">
        <v>0</v>
      </c>
      <c r="R4">
        <v>13.66</v>
      </c>
      <c r="S4">
        <v>11.01</v>
      </c>
      <c r="T4">
        <v>6.09</v>
      </c>
      <c r="U4">
        <v>1.57</v>
      </c>
      <c r="V4">
        <v>72</v>
      </c>
      <c r="W4">
        <v>0</v>
      </c>
      <c r="X4">
        <v>0</v>
      </c>
      <c r="Y4">
        <v>36.22</v>
      </c>
      <c r="Z4">
        <v>0</v>
      </c>
      <c r="AA4">
        <v>0</v>
      </c>
      <c r="AB4" t="s">
        <v>13</v>
      </c>
      <c r="AC4">
        <v>70</v>
      </c>
      <c r="AD4">
        <v>20</v>
      </c>
      <c r="AE4">
        <v>0.1</v>
      </c>
      <c r="AF4">
        <v>0.05</v>
      </c>
      <c r="AH4">
        <v>36.22</v>
      </c>
      <c r="AI4" t="s">
        <v>239</v>
      </c>
      <c r="AJ4" t="s">
        <v>48</v>
      </c>
      <c r="AK4">
        <v>0.7</v>
      </c>
    </row>
    <row r="5" spans="1:37" hidden="1" x14ac:dyDescent="0.25">
      <c r="A5" s="2">
        <v>45670</v>
      </c>
      <c r="B5" t="s">
        <v>318</v>
      </c>
      <c r="C5" t="s">
        <v>319</v>
      </c>
      <c r="D5">
        <v>46</v>
      </c>
      <c r="E5">
        <v>1</v>
      </c>
      <c r="F5">
        <v>1.9230769230769232E-2</v>
      </c>
      <c r="G5">
        <v>32.020000000000003</v>
      </c>
      <c r="H5">
        <v>0</v>
      </c>
      <c r="I5">
        <v>32.020000000000003</v>
      </c>
      <c r="J5">
        <v>633.74</v>
      </c>
      <c r="K5">
        <v>35.380000000000003</v>
      </c>
      <c r="L5">
        <v>0.75</v>
      </c>
      <c r="M5" t="s">
        <v>352</v>
      </c>
      <c r="N5">
        <v>13</v>
      </c>
      <c r="O5">
        <v>33</v>
      </c>
      <c r="P5">
        <v>29.19</v>
      </c>
      <c r="Q5">
        <v>0</v>
      </c>
      <c r="R5">
        <v>2.83</v>
      </c>
      <c r="S5">
        <v>25.52</v>
      </c>
      <c r="T5">
        <v>23.13</v>
      </c>
      <c r="U5">
        <v>1.44</v>
      </c>
      <c r="V5">
        <v>52</v>
      </c>
      <c r="W5">
        <v>0</v>
      </c>
      <c r="X5">
        <v>1</v>
      </c>
      <c r="Y5">
        <v>32.020000000000003</v>
      </c>
      <c r="Z5">
        <v>0</v>
      </c>
      <c r="AA5">
        <v>0</v>
      </c>
      <c r="AB5" t="s">
        <v>12</v>
      </c>
      <c r="AC5">
        <v>70</v>
      </c>
      <c r="AD5">
        <v>20</v>
      </c>
      <c r="AE5">
        <v>0.1</v>
      </c>
      <c r="AF5">
        <v>0.05</v>
      </c>
      <c r="AH5">
        <v>32.020000000000003</v>
      </c>
      <c r="AI5" t="s">
        <v>168</v>
      </c>
      <c r="AJ5" t="s">
        <v>37</v>
      </c>
      <c r="AK5">
        <v>0.7</v>
      </c>
    </row>
    <row r="6" spans="1:37" hidden="1" x14ac:dyDescent="0.25">
      <c r="A6" s="2">
        <v>45677</v>
      </c>
      <c r="B6" t="s">
        <v>318</v>
      </c>
      <c r="C6" t="s">
        <v>319</v>
      </c>
      <c r="D6">
        <v>70</v>
      </c>
      <c r="E6">
        <v>1</v>
      </c>
      <c r="F6">
        <v>1.3698630136986301E-2</v>
      </c>
      <c r="G6">
        <v>32.11</v>
      </c>
      <c r="H6">
        <v>0</v>
      </c>
      <c r="I6">
        <v>32.11</v>
      </c>
      <c r="J6">
        <v>708.12</v>
      </c>
      <c r="K6">
        <v>28</v>
      </c>
      <c r="L6">
        <v>0</v>
      </c>
      <c r="M6" t="s">
        <v>352</v>
      </c>
      <c r="N6">
        <v>5</v>
      </c>
      <c r="O6">
        <v>65</v>
      </c>
      <c r="P6">
        <v>29.14</v>
      </c>
      <c r="Q6">
        <v>0</v>
      </c>
      <c r="R6">
        <v>2.97</v>
      </c>
      <c r="S6">
        <v>17.100000000000001</v>
      </c>
      <c r="T6">
        <v>15.33</v>
      </c>
      <c r="U6">
        <v>2.1800000000000002</v>
      </c>
      <c r="V6">
        <v>73</v>
      </c>
      <c r="W6">
        <v>0</v>
      </c>
      <c r="X6">
        <v>1</v>
      </c>
      <c r="Y6">
        <v>32.11</v>
      </c>
      <c r="Z6">
        <v>0</v>
      </c>
      <c r="AA6">
        <v>0</v>
      </c>
      <c r="AB6" t="s">
        <v>13</v>
      </c>
      <c r="AC6">
        <v>70</v>
      </c>
      <c r="AD6">
        <v>20</v>
      </c>
      <c r="AE6">
        <v>0.1</v>
      </c>
      <c r="AF6">
        <v>0.05</v>
      </c>
      <c r="AH6">
        <v>32.11</v>
      </c>
      <c r="AI6" t="s">
        <v>168</v>
      </c>
      <c r="AJ6" t="s">
        <v>37</v>
      </c>
      <c r="AK6">
        <v>0.7</v>
      </c>
    </row>
    <row r="7" spans="1:37" hidden="1" x14ac:dyDescent="0.25">
      <c r="A7" s="2">
        <v>45670</v>
      </c>
      <c r="B7" t="s">
        <v>366</v>
      </c>
      <c r="C7" t="s">
        <v>367</v>
      </c>
      <c r="D7">
        <v>32</v>
      </c>
      <c r="E7">
        <v>0.97619047619047616</v>
      </c>
      <c r="F7">
        <v>7.3170731707317069E-2</v>
      </c>
      <c r="G7">
        <v>27.57</v>
      </c>
      <c r="H7">
        <v>0</v>
      </c>
      <c r="I7">
        <v>27.57</v>
      </c>
      <c r="J7">
        <v>455.68999999999897</v>
      </c>
      <c r="K7">
        <v>35.61</v>
      </c>
      <c r="L7">
        <v>2.15</v>
      </c>
      <c r="M7" t="s">
        <v>368</v>
      </c>
      <c r="N7">
        <v>11</v>
      </c>
      <c r="O7">
        <v>21</v>
      </c>
      <c r="P7">
        <v>21.31</v>
      </c>
      <c r="Q7">
        <v>1</v>
      </c>
      <c r="R7">
        <v>6.26</v>
      </c>
      <c r="S7">
        <v>26.57</v>
      </c>
      <c r="T7">
        <v>20.96</v>
      </c>
      <c r="U7">
        <v>1.1599999999999999</v>
      </c>
      <c r="V7">
        <v>41</v>
      </c>
      <c r="W7">
        <v>0</v>
      </c>
      <c r="X7">
        <v>3</v>
      </c>
      <c r="Y7">
        <v>0</v>
      </c>
      <c r="Z7">
        <v>0</v>
      </c>
      <c r="AA7">
        <v>27.57</v>
      </c>
      <c r="AB7" t="s">
        <v>12</v>
      </c>
      <c r="AC7">
        <v>70</v>
      </c>
      <c r="AD7">
        <v>20</v>
      </c>
      <c r="AE7">
        <v>0.1</v>
      </c>
      <c r="AF7">
        <v>0.05</v>
      </c>
      <c r="AH7">
        <v>0</v>
      </c>
      <c r="AI7" t="s">
        <v>323</v>
      </c>
      <c r="AJ7" t="s">
        <v>65</v>
      </c>
      <c r="AK7">
        <v>0.7</v>
      </c>
    </row>
    <row r="8" spans="1:37" hidden="1" x14ac:dyDescent="0.25">
      <c r="A8" s="2">
        <v>45677</v>
      </c>
      <c r="B8" t="s">
        <v>366</v>
      </c>
      <c r="C8" t="s">
        <v>367</v>
      </c>
      <c r="D8">
        <v>42</v>
      </c>
      <c r="E8">
        <v>1</v>
      </c>
      <c r="F8">
        <v>0</v>
      </c>
      <c r="G8">
        <v>34.99</v>
      </c>
      <c r="H8">
        <v>0.11</v>
      </c>
      <c r="I8">
        <v>34.880000000000003</v>
      </c>
      <c r="J8">
        <v>518.23</v>
      </c>
      <c r="K8">
        <v>33.49</v>
      </c>
      <c r="L8">
        <v>0</v>
      </c>
      <c r="M8" t="s">
        <v>368</v>
      </c>
      <c r="N8">
        <v>15</v>
      </c>
      <c r="O8">
        <v>27</v>
      </c>
      <c r="P8">
        <v>25.32</v>
      </c>
      <c r="Q8">
        <v>0</v>
      </c>
      <c r="R8">
        <v>9.56</v>
      </c>
      <c r="S8">
        <v>27.43</v>
      </c>
      <c r="T8">
        <v>19.760000000000002</v>
      </c>
      <c r="U8">
        <v>1.2</v>
      </c>
      <c r="V8">
        <v>47</v>
      </c>
      <c r="W8">
        <v>0</v>
      </c>
      <c r="X8">
        <v>0</v>
      </c>
      <c r="Y8">
        <v>34.880000000000003</v>
      </c>
      <c r="Z8">
        <v>0</v>
      </c>
      <c r="AA8">
        <v>0</v>
      </c>
      <c r="AB8" t="s">
        <v>13</v>
      </c>
      <c r="AC8">
        <v>70</v>
      </c>
      <c r="AD8">
        <v>20</v>
      </c>
      <c r="AE8">
        <v>0.1</v>
      </c>
      <c r="AF8">
        <v>0.05</v>
      </c>
      <c r="AH8">
        <v>34.880000000000003</v>
      </c>
      <c r="AI8" t="s">
        <v>323</v>
      </c>
      <c r="AJ8" t="s">
        <v>65</v>
      </c>
      <c r="AK8">
        <v>0.7</v>
      </c>
    </row>
    <row r="9" spans="1:37" hidden="1" x14ac:dyDescent="0.25">
      <c r="A9" s="2">
        <v>45670</v>
      </c>
      <c r="B9" t="s">
        <v>309</v>
      </c>
      <c r="C9" t="s">
        <v>310</v>
      </c>
      <c r="D9">
        <v>39</v>
      </c>
      <c r="E9">
        <v>0.97826086956521741</v>
      </c>
      <c r="F9">
        <v>4.4444444444444446E-2</v>
      </c>
      <c r="G9">
        <v>25.12</v>
      </c>
      <c r="H9">
        <v>0.01</v>
      </c>
      <c r="I9">
        <v>25.11</v>
      </c>
      <c r="J9">
        <v>461.599999999999</v>
      </c>
      <c r="K9">
        <v>0</v>
      </c>
      <c r="L9">
        <v>0</v>
      </c>
      <c r="M9" t="s">
        <v>333</v>
      </c>
      <c r="N9">
        <v>7</v>
      </c>
      <c r="O9">
        <v>32</v>
      </c>
      <c r="P9">
        <v>23.59</v>
      </c>
      <c r="Q9">
        <v>1</v>
      </c>
      <c r="R9">
        <v>1.51</v>
      </c>
      <c r="S9">
        <v>15.71</v>
      </c>
      <c r="T9">
        <v>15</v>
      </c>
      <c r="U9">
        <v>1.55</v>
      </c>
      <c r="V9">
        <v>45</v>
      </c>
      <c r="W9">
        <v>0</v>
      </c>
      <c r="X9">
        <v>2</v>
      </c>
      <c r="Y9">
        <v>0</v>
      </c>
      <c r="Z9">
        <v>0</v>
      </c>
      <c r="AA9">
        <v>25.11</v>
      </c>
      <c r="AB9" t="s">
        <v>12</v>
      </c>
      <c r="AC9">
        <v>70</v>
      </c>
      <c r="AD9">
        <v>20</v>
      </c>
      <c r="AE9">
        <v>0.1</v>
      </c>
      <c r="AF9">
        <v>0.05</v>
      </c>
      <c r="AH9">
        <v>0</v>
      </c>
      <c r="AI9" t="s">
        <v>170</v>
      </c>
      <c r="AJ9" t="s">
        <v>37</v>
      </c>
      <c r="AK9">
        <v>0.7</v>
      </c>
    </row>
    <row r="10" spans="1:37" hidden="1" x14ac:dyDescent="0.25">
      <c r="A10" s="2">
        <v>45677</v>
      </c>
      <c r="B10" t="s">
        <v>309</v>
      </c>
      <c r="C10" t="s">
        <v>310</v>
      </c>
      <c r="D10">
        <v>44</v>
      </c>
      <c r="E10">
        <v>1</v>
      </c>
      <c r="F10">
        <v>0.02</v>
      </c>
      <c r="G10">
        <v>23.73</v>
      </c>
      <c r="H10">
        <v>0.06</v>
      </c>
      <c r="I10">
        <v>23.67</v>
      </c>
      <c r="J10">
        <v>465.909999999999</v>
      </c>
      <c r="K10">
        <v>22.25</v>
      </c>
      <c r="L10">
        <v>0</v>
      </c>
      <c r="M10" t="s">
        <v>333</v>
      </c>
      <c r="N10">
        <v>8</v>
      </c>
      <c r="O10">
        <v>36</v>
      </c>
      <c r="P10">
        <v>21.86</v>
      </c>
      <c r="Q10">
        <v>0</v>
      </c>
      <c r="R10">
        <v>1.81</v>
      </c>
      <c r="S10">
        <v>13.95</v>
      </c>
      <c r="T10">
        <v>12.54</v>
      </c>
      <c r="U10">
        <v>1.85</v>
      </c>
      <c r="V10">
        <v>50</v>
      </c>
      <c r="W10">
        <v>0</v>
      </c>
      <c r="X10">
        <v>1</v>
      </c>
      <c r="Y10">
        <v>23.67</v>
      </c>
      <c r="Z10">
        <v>0</v>
      </c>
      <c r="AA10">
        <v>0</v>
      </c>
      <c r="AB10" t="s">
        <v>13</v>
      </c>
      <c r="AC10">
        <v>70</v>
      </c>
      <c r="AD10">
        <v>20</v>
      </c>
      <c r="AE10">
        <v>0.1</v>
      </c>
      <c r="AF10">
        <v>0.05</v>
      </c>
      <c r="AH10">
        <v>23.67</v>
      </c>
      <c r="AI10" t="s">
        <v>170</v>
      </c>
      <c r="AJ10" t="s">
        <v>37</v>
      </c>
      <c r="AK10">
        <v>0.7</v>
      </c>
    </row>
    <row r="11" spans="1:37" hidden="1" x14ac:dyDescent="0.25">
      <c r="A11" s="2">
        <v>45670</v>
      </c>
      <c r="B11" t="s">
        <v>326</v>
      </c>
      <c r="C11" t="s">
        <v>327</v>
      </c>
      <c r="D11">
        <v>111</v>
      </c>
      <c r="E11">
        <v>1</v>
      </c>
      <c r="F11">
        <v>2.3076923076923078E-2</v>
      </c>
      <c r="G11">
        <v>50.15</v>
      </c>
      <c r="H11">
        <v>0</v>
      </c>
      <c r="I11">
        <v>50.15</v>
      </c>
      <c r="J11">
        <v>1019.9</v>
      </c>
      <c r="K11">
        <v>53.35</v>
      </c>
      <c r="L11">
        <v>0</v>
      </c>
      <c r="M11" t="s">
        <v>328</v>
      </c>
      <c r="N11">
        <v>11</v>
      </c>
      <c r="O11">
        <v>100</v>
      </c>
      <c r="P11">
        <v>48.43</v>
      </c>
      <c r="Q11">
        <v>0</v>
      </c>
      <c r="R11">
        <v>1.72</v>
      </c>
      <c r="S11">
        <v>10.34</v>
      </c>
      <c r="T11">
        <v>10.08</v>
      </c>
      <c r="U11">
        <v>2.21</v>
      </c>
      <c r="V11">
        <v>130</v>
      </c>
      <c r="W11">
        <v>0</v>
      </c>
      <c r="X11">
        <v>3</v>
      </c>
      <c r="Y11">
        <v>50.15</v>
      </c>
      <c r="Z11">
        <v>0</v>
      </c>
      <c r="AA11">
        <v>0</v>
      </c>
      <c r="AB11" t="s">
        <v>12</v>
      </c>
      <c r="AC11">
        <v>70</v>
      </c>
      <c r="AD11">
        <v>20</v>
      </c>
      <c r="AE11">
        <v>0.1</v>
      </c>
      <c r="AF11">
        <v>0.05</v>
      </c>
      <c r="AH11">
        <v>50.15</v>
      </c>
      <c r="AI11" t="s">
        <v>171</v>
      </c>
      <c r="AJ11" t="s">
        <v>34</v>
      </c>
      <c r="AK11">
        <v>0.7</v>
      </c>
    </row>
    <row r="12" spans="1:37" hidden="1" x14ac:dyDescent="0.25">
      <c r="A12" s="2">
        <v>45677</v>
      </c>
      <c r="B12" t="s">
        <v>326</v>
      </c>
      <c r="C12" t="s">
        <v>327</v>
      </c>
      <c r="D12">
        <v>107</v>
      </c>
      <c r="E12">
        <v>0.99224806201550386</v>
      </c>
      <c r="F12">
        <v>3.90625E-2</v>
      </c>
      <c r="G12">
        <v>50.01</v>
      </c>
      <c r="H12">
        <v>0</v>
      </c>
      <c r="I12">
        <v>50.01</v>
      </c>
      <c r="J12">
        <v>1030.8699999999999</v>
      </c>
      <c r="K12">
        <v>68.06</v>
      </c>
      <c r="L12">
        <v>0</v>
      </c>
      <c r="M12" t="s">
        <v>328</v>
      </c>
      <c r="N12">
        <v>8</v>
      </c>
      <c r="O12">
        <v>99</v>
      </c>
      <c r="P12">
        <v>48.31</v>
      </c>
      <c r="Q12">
        <v>0</v>
      </c>
      <c r="R12">
        <v>1.69</v>
      </c>
      <c r="S12">
        <v>10.45</v>
      </c>
      <c r="T12">
        <v>10.210000000000001</v>
      </c>
      <c r="U12">
        <v>2.14</v>
      </c>
      <c r="V12">
        <v>128</v>
      </c>
      <c r="W12">
        <v>1</v>
      </c>
      <c r="X12">
        <v>5</v>
      </c>
      <c r="Y12">
        <v>50.01</v>
      </c>
      <c r="Z12">
        <v>0</v>
      </c>
      <c r="AA12">
        <v>0</v>
      </c>
      <c r="AB12" t="s">
        <v>13</v>
      </c>
      <c r="AC12">
        <v>70</v>
      </c>
      <c r="AD12">
        <v>20</v>
      </c>
      <c r="AE12">
        <v>0.1</v>
      </c>
      <c r="AF12">
        <v>0.05</v>
      </c>
      <c r="AH12">
        <v>50.01</v>
      </c>
      <c r="AI12" t="s">
        <v>171</v>
      </c>
      <c r="AJ12" t="s">
        <v>34</v>
      </c>
      <c r="AK12">
        <v>0.7</v>
      </c>
    </row>
    <row r="13" spans="1:37" hidden="1" x14ac:dyDescent="0.25">
      <c r="A13" s="2">
        <v>45670</v>
      </c>
      <c r="B13" t="s">
        <v>335</v>
      </c>
      <c r="C13" t="s">
        <v>336</v>
      </c>
      <c r="D13">
        <v>45</v>
      </c>
      <c r="E13">
        <v>0.98181818181818181</v>
      </c>
      <c r="F13">
        <v>0</v>
      </c>
      <c r="G13">
        <v>23.95</v>
      </c>
      <c r="H13">
        <v>0</v>
      </c>
      <c r="I13">
        <v>23.95</v>
      </c>
      <c r="J13">
        <v>494.34</v>
      </c>
      <c r="K13">
        <v>10</v>
      </c>
      <c r="L13">
        <v>0</v>
      </c>
      <c r="M13" t="s">
        <v>337</v>
      </c>
      <c r="N13">
        <v>9</v>
      </c>
      <c r="O13">
        <v>36</v>
      </c>
      <c r="P13">
        <v>20.079999999999998</v>
      </c>
      <c r="Q13">
        <v>1</v>
      </c>
      <c r="R13">
        <v>3.87</v>
      </c>
      <c r="S13">
        <v>10.07</v>
      </c>
      <c r="T13">
        <v>9.33</v>
      </c>
      <c r="U13">
        <v>1.88</v>
      </c>
      <c r="V13">
        <v>54</v>
      </c>
      <c r="W13">
        <v>0</v>
      </c>
      <c r="X13">
        <v>0</v>
      </c>
      <c r="Y13">
        <v>23.95</v>
      </c>
      <c r="Z13">
        <v>0</v>
      </c>
      <c r="AA13">
        <v>0</v>
      </c>
      <c r="AB13" t="s">
        <v>12</v>
      </c>
      <c r="AC13">
        <v>70</v>
      </c>
      <c r="AD13">
        <v>20</v>
      </c>
      <c r="AE13">
        <v>0.1</v>
      </c>
      <c r="AF13">
        <v>0.05</v>
      </c>
      <c r="AH13">
        <v>23.95</v>
      </c>
      <c r="AI13" t="s">
        <v>172</v>
      </c>
      <c r="AJ13" t="s">
        <v>48</v>
      </c>
      <c r="AK13">
        <v>0.7</v>
      </c>
    </row>
    <row r="14" spans="1:37" hidden="1" x14ac:dyDescent="0.25">
      <c r="A14" s="2">
        <v>45677</v>
      </c>
      <c r="B14" t="s">
        <v>335</v>
      </c>
      <c r="C14" t="s">
        <v>336</v>
      </c>
      <c r="D14">
        <v>107</v>
      </c>
      <c r="E14">
        <v>1</v>
      </c>
      <c r="F14">
        <v>1.5384615384615385E-2</v>
      </c>
      <c r="G14">
        <v>47.05</v>
      </c>
      <c r="H14">
        <v>0.02</v>
      </c>
      <c r="I14">
        <v>47.029999999999994</v>
      </c>
      <c r="J14">
        <v>927.68999999999903</v>
      </c>
      <c r="K14">
        <v>73</v>
      </c>
      <c r="L14">
        <v>0</v>
      </c>
      <c r="M14" t="s">
        <v>337</v>
      </c>
      <c r="N14">
        <v>21</v>
      </c>
      <c r="O14">
        <v>86</v>
      </c>
      <c r="P14">
        <v>42.88</v>
      </c>
      <c r="Q14">
        <v>0</v>
      </c>
      <c r="R14">
        <v>4.16</v>
      </c>
      <c r="S14">
        <v>20.29</v>
      </c>
      <c r="T14">
        <v>18.399999999999999</v>
      </c>
      <c r="U14">
        <v>2.27</v>
      </c>
      <c r="V14">
        <v>130</v>
      </c>
      <c r="W14">
        <v>0</v>
      </c>
      <c r="X14">
        <v>2</v>
      </c>
      <c r="Y14">
        <v>47.029999999999994</v>
      </c>
      <c r="Z14">
        <v>0</v>
      </c>
      <c r="AA14">
        <v>0</v>
      </c>
      <c r="AB14" t="s">
        <v>13</v>
      </c>
      <c r="AC14">
        <v>70</v>
      </c>
      <c r="AD14">
        <v>20</v>
      </c>
      <c r="AE14">
        <v>0.1</v>
      </c>
      <c r="AF14">
        <v>0.05</v>
      </c>
      <c r="AH14">
        <v>47.029999999999994</v>
      </c>
      <c r="AI14" t="s">
        <v>172</v>
      </c>
      <c r="AJ14" t="s">
        <v>48</v>
      </c>
      <c r="AK14">
        <v>0.7</v>
      </c>
    </row>
    <row r="15" spans="1:37" hidden="1" x14ac:dyDescent="0.25">
      <c r="A15" s="2">
        <v>45670</v>
      </c>
      <c r="B15" t="s">
        <v>311</v>
      </c>
      <c r="C15" t="s">
        <v>312</v>
      </c>
      <c r="D15">
        <v>79</v>
      </c>
      <c r="E15">
        <v>0.94623655913978499</v>
      </c>
      <c r="F15">
        <v>3.4090909090909088E-2</v>
      </c>
      <c r="G15">
        <v>50.32</v>
      </c>
      <c r="H15">
        <v>5.59</v>
      </c>
      <c r="I15">
        <v>44.730000000000004</v>
      </c>
      <c r="J15">
        <v>775.74</v>
      </c>
      <c r="K15">
        <v>24</v>
      </c>
      <c r="L15">
        <v>0</v>
      </c>
      <c r="M15" t="s">
        <v>332</v>
      </c>
      <c r="N15">
        <v>7</v>
      </c>
      <c r="O15">
        <v>72</v>
      </c>
      <c r="P15">
        <v>34.700000000000003</v>
      </c>
      <c r="Q15">
        <v>5</v>
      </c>
      <c r="R15">
        <v>10.029999999999999</v>
      </c>
      <c r="S15">
        <v>16.559999999999999</v>
      </c>
      <c r="T15">
        <v>15.96</v>
      </c>
      <c r="U15">
        <v>1.57</v>
      </c>
      <c r="V15">
        <v>88</v>
      </c>
      <c r="W15">
        <v>0</v>
      </c>
      <c r="X15">
        <v>3</v>
      </c>
      <c r="Y15">
        <v>0</v>
      </c>
      <c r="Z15">
        <v>0</v>
      </c>
      <c r="AA15">
        <v>44.730000000000004</v>
      </c>
      <c r="AB15" t="s">
        <v>12</v>
      </c>
      <c r="AC15">
        <v>70</v>
      </c>
      <c r="AD15">
        <v>20</v>
      </c>
      <c r="AE15">
        <v>0.1</v>
      </c>
      <c r="AF15">
        <v>0.05</v>
      </c>
      <c r="AH15">
        <v>0</v>
      </c>
      <c r="AI15" t="s">
        <v>174</v>
      </c>
      <c r="AJ15" t="s">
        <v>37</v>
      </c>
      <c r="AK15">
        <v>0.7</v>
      </c>
    </row>
    <row r="16" spans="1:37" hidden="1" x14ac:dyDescent="0.25">
      <c r="A16" s="2">
        <v>45677</v>
      </c>
      <c r="B16" t="s">
        <v>311</v>
      </c>
      <c r="C16" t="s">
        <v>312</v>
      </c>
      <c r="D16">
        <v>49</v>
      </c>
      <c r="E16">
        <v>1</v>
      </c>
      <c r="F16">
        <v>2.1739130434782608E-2</v>
      </c>
      <c r="G16">
        <v>29.4</v>
      </c>
      <c r="H16">
        <v>4.59</v>
      </c>
      <c r="I16">
        <v>24.81</v>
      </c>
      <c r="J16">
        <v>480.95</v>
      </c>
      <c r="K16">
        <v>15</v>
      </c>
      <c r="L16">
        <v>0</v>
      </c>
      <c r="M16" t="s">
        <v>332</v>
      </c>
      <c r="N16">
        <v>10</v>
      </c>
      <c r="O16">
        <v>39</v>
      </c>
      <c r="P16">
        <v>22.75</v>
      </c>
      <c r="Q16">
        <v>0</v>
      </c>
      <c r="R16">
        <v>2.06</v>
      </c>
      <c r="S16">
        <v>17.09</v>
      </c>
      <c r="T16">
        <v>16.38</v>
      </c>
      <c r="U16">
        <v>1.67</v>
      </c>
      <c r="V16">
        <v>46</v>
      </c>
      <c r="W16">
        <v>0</v>
      </c>
      <c r="X16">
        <v>1</v>
      </c>
      <c r="Y16">
        <v>24.81</v>
      </c>
      <c r="Z16">
        <v>0</v>
      </c>
      <c r="AA16">
        <v>0</v>
      </c>
      <c r="AB16" t="s">
        <v>13</v>
      </c>
      <c r="AC16">
        <v>70</v>
      </c>
      <c r="AD16">
        <v>20</v>
      </c>
      <c r="AE16">
        <v>0.1</v>
      </c>
      <c r="AF16">
        <v>0.05</v>
      </c>
      <c r="AH16">
        <v>24.81</v>
      </c>
      <c r="AI16" t="s">
        <v>174</v>
      </c>
      <c r="AJ16" t="s">
        <v>37</v>
      </c>
      <c r="AK16">
        <v>0.7</v>
      </c>
    </row>
    <row r="17" spans="1:37" hidden="1" x14ac:dyDescent="0.25">
      <c r="A17" s="2">
        <v>45670</v>
      </c>
      <c r="B17" t="s">
        <v>339</v>
      </c>
      <c r="C17" t="s">
        <v>340</v>
      </c>
      <c r="D17">
        <v>92</v>
      </c>
      <c r="E17">
        <v>1</v>
      </c>
      <c r="F17">
        <v>0</v>
      </c>
      <c r="G17">
        <v>37.799999999999997</v>
      </c>
      <c r="H17">
        <v>0.01</v>
      </c>
      <c r="I17">
        <v>37.79</v>
      </c>
      <c r="J17">
        <v>725.14</v>
      </c>
      <c r="K17">
        <v>13</v>
      </c>
      <c r="L17">
        <v>0</v>
      </c>
      <c r="M17" t="s">
        <v>341</v>
      </c>
      <c r="N17">
        <v>5</v>
      </c>
      <c r="O17">
        <v>87</v>
      </c>
      <c r="P17">
        <v>32.07</v>
      </c>
      <c r="Q17">
        <v>0</v>
      </c>
      <c r="R17">
        <v>5.72</v>
      </c>
      <c r="S17">
        <v>0</v>
      </c>
      <c r="T17">
        <v>0</v>
      </c>
      <c r="U17">
        <v>2.4300000000000002</v>
      </c>
      <c r="V17">
        <v>96</v>
      </c>
      <c r="W17">
        <v>0</v>
      </c>
      <c r="X17">
        <v>0</v>
      </c>
      <c r="Y17">
        <v>37.79</v>
      </c>
      <c r="Z17">
        <v>0</v>
      </c>
      <c r="AA17">
        <v>0</v>
      </c>
      <c r="AB17" t="s">
        <v>12</v>
      </c>
      <c r="AC17">
        <v>70</v>
      </c>
      <c r="AD17">
        <v>20</v>
      </c>
      <c r="AE17">
        <v>0.1</v>
      </c>
      <c r="AF17">
        <v>0.05</v>
      </c>
      <c r="AH17">
        <v>37.79</v>
      </c>
      <c r="AI17" t="s">
        <v>175</v>
      </c>
      <c r="AJ17" t="s">
        <v>48</v>
      </c>
      <c r="AK17">
        <v>0.7</v>
      </c>
    </row>
    <row r="18" spans="1:37" hidden="1" x14ac:dyDescent="0.25">
      <c r="A18" s="2">
        <v>45677</v>
      </c>
      <c r="B18" t="s">
        <v>339</v>
      </c>
      <c r="C18" t="s">
        <v>340</v>
      </c>
      <c r="D18">
        <v>85</v>
      </c>
      <c r="E18">
        <v>1</v>
      </c>
      <c r="F18">
        <v>0</v>
      </c>
      <c r="G18">
        <v>39.72</v>
      </c>
      <c r="H18">
        <v>0</v>
      </c>
      <c r="I18">
        <v>39.72</v>
      </c>
      <c r="J18">
        <v>776.17999999999904</v>
      </c>
      <c r="K18">
        <v>29</v>
      </c>
      <c r="L18">
        <v>0</v>
      </c>
      <c r="M18" t="s">
        <v>341</v>
      </c>
      <c r="N18">
        <v>6</v>
      </c>
      <c r="O18">
        <v>79</v>
      </c>
      <c r="P18">
        <v>32.799999999999997</v>
      </c>
      <c r="Q18">
        <v>0</v>
      </c>
      <c r="R18">
        <v>6.91</v>
      </c>
      <c r="S18">
        <v>0</v>
      </c>
      <c r="T18">
        <v>0</v>
      </c>
      <c r="U18">
        <v>2.14</v>
      </c>
      <c r="V18">
        <v>95</v>
      </c>
      <c r="W18">
        <v>0</v>
      </c>
      <c r="X18">
        <v>0</v>
      </c>
      <c r="Y18">
        <v>39.72</v>
      </c>
      <c r="Z18">
        <v>0</v>
      </c>
      <c r="AA18">
        <v>0</v>
      </c>
      <c r="AB18" t="s">
        <v>13</v>
      </c>
      <c r="AC18">
        <v>70</v>
      </c>
      <c r="AD18">
        <v>20</v>
      </c>
      <c r="AE18">
        <v>0.1</v>
      </c>
      <c r="AF18">
        <v>0.05</v>
      </c>
      <c r="AH18">
        <v>39.72</v>
      </c>
      <c r="AI18" t="s">
        <v>175</v>
      </c>
      <c r="AJ18" t="s">
        <v>48</v>
      </c>
      <c r="AK18">
        <v>0.7</v>
      </c>
    </row>
    <row r="19" spans="1:37" hidden="1" x14ac:dyDescent="0.25">
      <c r="A19" s="2">
        <v>45670</v>
      </c>
      <c r="B19" t="s">
        <v>353</v>
      </c>
      <c r="C19" t="s">
        <v>354</v>
      </c>
      <c r="D19">
        <v>62</v>
      </c>
      <c r="E19">
        <v>0.98484848484848486</v>
      </c>
      <c r="F19">
        <v>0</v>
      </c>
      <c r="G19">
        <v>38.96</v>
      </c>
      <c r="H19">
        <v>0.3</v>
      </c>
      <c r="I19">
        <v>38.660000000000004</v>
      </c>
      <c r="J19">
        <v>607.349999999999</v>
      </c>
      <c r="K19">
        <v>8</v>
      </c>
      <c r="L19">
        <v>0</v>
      </c>
      <c r="M19" t="s">
        <v>355</v>
      </c>
      <c r="N19">
        <v>3</v>
      </c>
      <c r="O19">
        <v>59</v>
      </c>
      <c r="P19">
        <v>26.11</v>
      </c>
      <c r="Q19">
        <v>1</v>
      </c>
      <c r="R19">
        <v>12.54</v>
      </c>
      <c r="S19">
        <v>0.19</v>
      </c>
      <c r="T19">
        <v>0.06</v>
      </c>
      <c r="U19">
        <v>1.59</v>
      </c>
      <c r="V19">
        <v>65</v>
      </c>
      <c r="W19">
        <v>0</v>
      </c>
      <c r="X19">
        <v>0</v>
      </c>
      <c r="Y19">
        <v>38.660000000000004</v>
      </c>
      <c r="Z19">
        <v>0</v>
      </c>
      <c r="AA19">
        <v>0</v>
      </c>
      <c r="AB19" t="s">
        <v>12</v>
      </c>
      <c r="AC19">
        <v>70</v>
      </c>
      <c r="AD19">
        <v>20</v>
      </c>
      <c r="AE19">
        <v>0.1</v>
      </c>
      <c r="AF19">
        <v>0.05</v>
      </c>
      <c r="AH19">
        <v>38.660000000000004</v>
      </c>
      <c r="AI19" t="s">
        <v>176</v>
      </c>
      <c r="AJ19" t="s">
        <v>65</v>
      </c>
      <c r="AK19">
        <v>0.7</v>
      </c>
    </row>
    <row r="20" spans="1:37" hidden="1" x14ac:dyDescent="0.25">
      <c r="A20" s="2">
        <v>45677</v>
      </c>
      <c r="B20" t="s">
        <v>353</v>
      </c>
      <c r="C20" t="s">
        <v>354</v>
      </c>
      <c r="D20">
        <v>85</v>
      </c>
      <c r="E20">
        <v>0.96875</v>
      </c>
      <c r="F20">
        <v>1.0752688172043012E-2</v>
      </c>
      <c r="G20">
        <v>47.58</v>
      </c>
      <c r="H20">
        <v>0.57999999999999996</v>
      </c>
      <c r="I20">
        <v>47</v>
      </c>
      <c r="J20">
        <v>821.62999999999909</v>
      </c>
      <c r="K20">
        <v>40.81</v>
      </c>
      <c r="L20">
        <v>0</v>
      </c>
      <c r="M20" t="s">
        <v>355</v>
      </c>
      <c r="N20">
        <v>3</v>
      </c>
      <c r="O20">
        <v>82</v>
      </c>
      <c r="P20">
        <v>35.450000000000003</v>
      </c>
      <c r="Q20">
        <v>3</v>
      </c>
      <c r="R20">
        <v>11.54</v>
      </c>
      <c r="S20">
        <v>0</v>
      </c>
      <c r="T20">
        <v>0</v>
      </c>
      <c r="U20">
        <v>1.79</v>
      </c>
      <c r="V20">
        <v>93</v>
      </c>
      <c r="W20">
        <v>0</v>
      </c>
      <c r="X20">
        <v>1</v>
      </c>
      <c r="Y20">
        <v>47</v>
      </c>
      <c r="Z20">
        <v>0</v>
      </c>
      <c r="AA20">
        <v>0</v>
      </c>
      <c r="AB20" t="s">
        <v>13</v>
      </c>
      <c r="AC20">
        <v>70</v>
      </c>
      <c r="AD20">
        <v>20</v>
      </c>
      <c r="AE20">
        <v>0.1</v>
      </c>
      <c r="AF20">
        <v>0.05</v>
      </c>
      <c r="AH20">
        <v>47</v>
      </c>
      <c r="AI20" t="s">
        <v>176</v>
      </c>
      <c r="AJ20" t="s">
        <v>65</v>
      </c>
      <c r="AK20">
        <v>0.7</v>
      </c>
    </row>
    <row r="21" spans="1:37" hidden="1" x14ac:dyDescent="0.25">
      <c r="A21" s="2">
        <v>45670</v>
      </c>
      <c r="B21" t="s">
        <v>313</v>
      </c>
      <c r="C21" t="s">
        <v>314</v>
      </c>
      <c r="D21">
        <v>52</v>
      </c>
      <c r="E21">
        <v>0.94444444444444442</v>
      </c>
      <c r="F21">
        <v>0</v>
      </c>
      <c r="G21">
        <v>30.55</v>
      </c>
      <c r="H21">
        <v>0.16</v>
      </c>
      <c r="I21">
        <v>30.39</v>
      </c>
      <c r="J21">
        <v>561.08999999999901</v>
      </c>
      <c r="K21">
        <v>23.009999999999899</v>
      </c>
      <c r="L21">
        <v>1.3</v>
      </c>
      <c r="M21" t="s">
        <v>334</v>
      </c>
      <c r="N21">
        <v>12</v>
      </c>
      <c r="O21">
        <v>40</v>
      </c>
      <c r="P21">
        <v>25.74</v>
      </c>
      <c r="Q21">
        <v>3</v>
      </c>
      <c r="R21">
        <v>4.6500000000000004</v>
      </c>
      <c r="S21">
        <v>15.2</v>
      </c>
      <c r="T21">
        <v>14</v>
      </c>
      <c r="U21">
        <v>1.7</v>
      </c>
      <c r="V21">
        <v>51</v>
      </c>
      <c r="W21">
        <v>0</v>
      </c>
      <c r="X21">
        <v>0</v>
      </c>
      <c r="Y21">
        <v>0</v>
      </c>
      <c r="Z21">
        <v>0</v>
      </c>
      <c r="AA21">
        <v>30.39</v>
      </c>
      <c r="AB21" t="s">
        <v>12</v>
      </c>
      <c r="AC21">
        <v>70</v>
      </c>
      <c r="AD21">
        <v>20</v>
      </c>
      <c r="AE21">
        <v>0.1</v>
      </c>
      <c r="AF21">
        <v>0.05</v>
      </c>
      <c r="AH21">
        <v>0</v>
      </c>
      <c r="AI21" t="s">
        <v>177</v>
      </c>
      <c r="AJ21" t="s">
        <v>37</v>
      </c>
      <c r="AK21">
        <v>0.7</v>
      </c>
    </row>
    <row r="22" spans="1:37" hidden="1" x14ac:dyDescent="0.25">
      <c r="A22" s="2">
        <v>45677</v>
      </c>
      <c r="B22" t="s">
        <v>313</v>
      </c>
      <c r="C22" t="s">
        <v>314</v>
      </c>
      <c r="D22">
        <v>41</v>
      </c>
      <c r="E22">
        <v>1</v>
      </c>
      <c r="F22">
        <v>2.1739130434782608E-2</v>
      </c>
      <c r="G22">
        <v>23.25</v>
      </c>
      <c r="H22">
        <v>0.16</v>
      </c>
      <c r="I22">
        <v>23.09</v>
      </c>
      <c r="J22">
        <v>418</v>
      </c>
      <c r="K22">
        <v>13</v>
      </c>
      <c r="L22">
        <v>0</v>
      </c>
      <c r="M22" t="s">
        <v>334</v>
      </c>
      <c r="N22">
        <v>10</v>
      </c>
      <c r="O22">
        <v>31</v>
      </c>
      <c r="P22">
        <v>19.45</v>
      </c>
      <c r="Q22">
        <v>0</v>
      </c>
      <c r="R22">
        <v>3.63</v>
      </c>
      <c r="S22">
        <v>19.28</v>
      </c>
      <c r="T22">
        <v>16.649999999999999</v>
      </c>
      <c r="U22">
        <v>1.76</v>
      </c>
      <c r="V22">
        <v>46</v>
      </c>
      <c r="W22">
        <v>0</v>
      </c>
      <c r="X22">
        <v>1</v>
      </c>
      <c r="Y22">
        <v>23.09</v>
      </c>
      <c r="Z22">
        <v>0</v>
      </c>
      <c r="AA22">
        <v>0</v>
      </c>
      <c r="AB22" t="s">
        <v>13</v>
      </c>
      <c r="AC22">
        <v>70</v>
      </c>
      <c r="AD22">
        <v>20</v>
      </c>
      <c r="AE22">
        <v>0.1</v>
      </c>
      <c r="AF22">
        <v>0.05</v>
      </c>
      <c r="AH22">
        <v>23.09</v>
      </c>
      <c r="AI22" t="s">
        <v>177</v>
      </c>
      <c r="AJ22" t="s">
        <v>37</v>
      </c>
      <c r="AK22">
        <v>0.7</v>
      </c>
    </row>
    <row r="23" spans="1:37" hidden="1" x14ac:dyDescent="0.25">
      <c r="A23" s="2">
        <v>45670</v>
      </c>
      <c r="B23" t="s">
        <v>343</v>
      </c>
      <c r="C23" t="s">
        <v>344</v>
      </c>
      <c r="D23">
        <v>43</v>
      </c>
      <c r="E23">
        <v>1</v>
      </c>
      <c r="F23">
        <v>0</v>
      </c>
      <c r="G23">
        <v>26.88</v>
      </c>
      <c r="H23">
        <v>0</v>
      </c>
      <c r="I23">
        <v>26.88</v>
      </c>
      <c r="J23">
        <v>405.68</v>
      </c>
      <c r="K23">
        <v>14</v>
      </c>
      <c r="L23">
        <v>0</v>
      </c>
      <c r="M23" t="s">
        <v>345</v>
      </c>
      <c r="N23">
        <v>7</v>
      </c>
      <c r="O23">
        <v>36</v>
      </c>
      <c r="P23">
        <v>17.670000000000002</v>
      </c>
      <c r="Q23">
        <v>0</v>
      </c>
      <c r="R23">
        <v>9.2100000000000009</v>
      </c>
      <c r="S23">
        <v>10.25</v>
      </c>
      <c r="T23">
        <v>7.81</v>
      </c>
      <c r="U23">
        <v>1.6</v>
      </c>
      <c r="V23">
        <v>43</v>
      </c>
      <c r="W23">
        <v>0</v>
      </c>
      <c r="X23">
        <v>0</v>
      </c>
      <c r="Y23">
        <v>26.88</v>
      </c>
      <c r="Z23">
        <v>0</v>
      </c>
      <c r="AA23">
        <v>0</v>
      </c>
      <c r="AB23" t="s">
        <v>12</v>
      </c>
      <c r="AC23">
        <v>70</v>
      </c>
      <c r="AD23">
        <v>20</v>
      </c>
      <c r="AE23">
        <v>0.1</v>
      </c>
      <c r="AF23">
        <v>0.05</v>
      </c>
      <c r="AH23">
        <v>26.88</v>
      </c>
      <c r="AI23" t="s">
        <v>178</v>
      </c>
      <c r="AJ23" t="s">
        <v>48</v>
      </c>
      <c r="AK23">
        <v>0.7</v>
      </c>
    </row>
    <row r="24" spans="1:37" hidden="1" x14ac:dyDescent="0.25">
      <c r="A24" s="2">
        <v>45677</v>
      </c>
      <c r="B24" t="s">
        <v>343</v>
      </c>
      <c r="C24" t="s">
        <v>344</v>
      </c>
      <c r="D24">
        <v>54</v>
      </c>
      <c r="E24">
        <v>0.97727272727272729</v>
      </c>
      <c r="F24">
        <v>0</v>
      </c>
      <c r="G24">
        <v>30.28</v>
      </c>
      <c r="H24">
        <v>0</v>
      </c>
      <c r="I24">
        <v>30.28</v>
      </c>
      <c r="J24">
        <v>446.52</v>
      </c>
      <c r="K24">
        <v>10</v>
      </c>
      <c r="L24">
        <v>0</v>
      </c>
      <c r="M24" t="s">
        <v>345</v>
      </c>
      <c r="N24">
        <v>6</v>
      </c>
      <c r="O24">
        <v>48</v>
      </c>
      <c r="P24">
        <v>19.5</v>
      </c>
      <c r="Q24">
        <v>0</v>
      </c>
      <c r="R24">
        <v>10.78</v>
      </c>
      <c r="S24">
        <v>9.89</v>
      </c>
      <c r="T24">
        <v>7.04</v>
      </c>
      <c r="U24">
        <v>1.78</v>
      </c>
      <c r="V24">
        <v>43</v>
      </c>
      <c r="W24">
        <v>1</v>
      </c>
      <c r="X24">
        <v>0</v>
      </c>
      <c r="Y24">
        <v>30.28</v>
      </c>
      <c r="Z24">
        <v>0</v>
      </c>
      <c r="AA24">
        <v>0</v>
      </c>
      <c r="AB24" t="s">
        <v>13</v>
      </c>
      <c r="AC24">
        <v>70</v>
      </c>
      <c r="AD24">
        <v>20</v>
      </c>
      <c r="AE24">
        <v>0.1</v>
      </c>
      <c r="AF24">
        <v>0.05</v>
      </c>
      <c r="AH24">
        <v>30.28</v>
      </c>
      <c r="AI24" t="s">
        <v>178</v>
      </c>
      <c r="AJ24" t="s">
        <v>48</v>
      </c>
      <c r="AK24">
        <v>0.7</v>
      </c>
    </row>
    <row r="25" spans="1:37" hidden="1" x14ac:dyDescent="0.25">
      <c r="A25" s="2">
        <v>45670</v>
      </c>
      <c r="B25" t="s">
        <v>346</v>
      </c>
      <c r="C25" t="s">
        <v>347</v>
      </c>
      <c r="D25">
        <v>65</v>
      </c>
      <c r="E25">
        <v>1</v>
      </c>
      <c r="F25">
        <v>3.614457831325301E-2</v>
      </c>
      <c r="G25">
        <v>47.01</v>
      </c>
      <c r="H25">
        <v>0.02</v>
      </c>
      <c r="I25">
        <v>46.989999999999995</v>
      </c>
      <c r="J25">
        <v>622.45000000000005</v>
      </c>
      <c r="K25">
        <v>54.37</v>
      </c>
      <c r="L25">
        <v>0</v>
      </c>
      <c r="M25" t="s">
        <v>348</v>
      </c>
      <c r="N25">
        <v>16</v>
      </c>
      <c r="O25">
        <v>49</v>
      </c>
      <c r="P25">
        <v>33.67</v>
      </c>
      <c r="Q25">
        <v>0</v>
      </c>
      <c r="R25">
        <v>13.32</v>
      </c>
      <c r="S25">
        <v>21.43</v>
      </c>
      <c r="T25">
        <v>18.809999999999999</v>
      </c>
      <c r="U25">
        <v>1.38</v>
      </c>
      <c r="V25">
        <v>83</v>
      </c>
      <c r="W25">
        <v>0</v>
      </c>
      <c r="X25">
        <v>3</v>
      </c>
      <c r="Y25">
        <v>46.989999999999995</v>
      </c>
      <c r="Z25">
        <v>0</v>
      </c>
      <c r="AA25">
        <v>0</v>
      </c>
      <c r="AB25" t="s">
        <v>12</v>
      </c>
      <c r="AC25">
        <v>70</v>
      </c>
      <c r="AD25">
        <v>20</v>
      </c>
      <c r="AE25">
        <v>0.1</v>
      </c>
      <c r="AF25">
        <v>0.05</v>
      </c>
      <c r="AH25">
        <v>46.989999999999995</v>
      </c>
      <c r="AI25" t="s">
        <v>180</v>
      </c>
      <c r="AJ25" t="s">
        <v>48</v>
      </c>
      <c r="AK25">
        <v>0.7</v>
      </c>
    </row>
    <row r="26" spans="1:37" hidden="1" x14ac:dyDescent="0.25">
      <c r="A26" s="2">
        <v>45677</v>
      </c>
      <c r="B26" t="s">
        <v>346</v>
      </c>
      <c r="C26" t="s">
        <v>347</v>
      </c>
      <c r="D26">
        <v>58</v>
      </c>
      <c r="E26">
        <v>0.98666666666666669</v>
      </c>
      <c r="F26">
        <v>4.0540540540540543E-2</v>
      </c>
      <c r="G26">
        <v>46.02</v>
      </c>
      <c r="H26">
        <v>0.02</v>
      </c>
      <c r="I26">
        <v>46</v>
      </c>
      <c r="J26">
        <v>595.29999999999995</v>
      </c>
      <c r="K26">
        <v>74.14</v>
      </c>
      <c r="L26">
        <v>0</v>
      </c>
      <c r="M26" t="s">
        <v>348</v>
      </c>
      <c r="N26">
        <v>14</v>
      </c>
      <c r="O26">
        <v>44</v>
      </c>
      <c r="P26">
        <v>30.75</v>
      </c>
      <c r="Q26">
        <v>1</v>
      </c>
      <c r="R26">
        <v>15.25</v>
      </c>
      <c r="S26">
        <v>26.38</v>
      </c>
      <c r="T26">
        <v>20.5</v>
      </c>
      <c r="U26">
        <v>1.26</v>
      </c>
      <c r="V26">
        <v>74</v>
      </c>
      <c r="W26">
        <v>0</v>
      </c>
      <c r="X26">
        <v>3</v>
      </c>
      <c r="Y26">
        <v>0</v>
      </c>
      <c r="Z26">
        <v>0</v>
      </c>
      <c r="AA26">
        <v>46</v>
      </c>
      <c r="AB26" t="s">
        <v>13</v>
      </c>
      <c r="AC26">
        <v>70</v>
      </c>
      <c r="AD26">
        <v>20</v>
      </c>
      <c r="AE26">
        <v>0.1</v>
      </c>
      <c r="AF26">
        <v>0.05</v>
      </c>
      <c r="AH26">
        <v>0</v>
      </c>
      <c r="AI26" t="s">
        <v>180</v>
      </c>
      <c r="AJ26" t="s">
        <v>48</v>
      </c>
      <c r="AK26">
        <v>0.7</v>
      </c>
    </row>
    <row r="27" spans="1:37" hidden="1" x14ac:dyDescent="0.25">
      <c r="A27" s="2">
        <v>45670</v>
      </c>
      <c r="B27" t="s">
        <v>320</v>
      </c>
      <c r="C27" t="s">
        <v>321</v>
      </c>
      <c r="D27">
        <v>38</v>
      </c>
      <c r="E27">
        <v>0.90384615384615385</v>
      </c>
      <c r="F27">
        <v>0</v>
      </c>
      <c r="G27">
        <v>21.13</v>
      </c>
      <c r="H27">
        <v>0.2</v>
      </c>
      <c r="I27">
        <v>20.93</v>
      </c>
      <c r="J27">
        <v>412.12999999999897</v>
      </c>
      <c r="K27">
        <v>3</v>
      </c>
      <c r="L27">
        <v>0</v>
      </c>
      <c r="M27" t="s">
        <v>365</v>
      </c>
      <c r="N27">
        <v>4</v>
      </c>
      <c r="O27">
        <v>34</v>
      </c>
      <c r="P27">
        <v>18.22</v>
      </c>
      <c r="Q27">
        <v>5</v>
      </c>
      <c r="R27">
        <v>2.7</v>
      </c>
      <c r="S27">
        <v>1.25</v>
      </c>
      <c r="T27">
        <v>0.89</v>
      </c>
      <c r="U27">
        <v>1.8</v>
      </c>
      <c r="V27">
        <v>47</v>
      </c>
      <c r="W27">
        <v>0</v>
      </c>
      <c r="X27">
        <v>0</v>
      </c>
      <c r="Y27">
        <v>0</v>
      </c>
      <c r="Z27">
        <v>0</v>
      </c>
      <c r="AA27">
        <v>20.93</v>
      </c>
      <c r="AB27" t="s">
        <v>12</v>
      </c>
      <c r="AC27">
        <v>70</v>
      </c>
      <c r="AD27">
        <v>20</v>
      </c>
      <c r="AE27">
        <v>0.1</v>
      </c>
      <c r="AF27">
        <v>0.05</v>
      </c>
      <c r="AH27">
        <v>0</v>
      </c>
      <c r="AI27" t="s">
        <v>182</v>
      </c>
      <c r="AJ27" t="s">
        <v>37</v>
      </c>
      <c r="AK27">
        <v>0.7</v>
      </c>
    </row>
    <row r="28" spans="1:37" hidden="1" x14ac:dyDescent="0.25">
      <c r="A28" s="2">
        <v>45677</v>
      </c>
      <c r="B28" t="s">
        <v>320</v>
      </c>
      <c r="C28" t="s">
        <v>321</v>
      </c>
      <c r="D28">
        <v>34</v>
      </c>
      <c r="E28">
        <v>0.84782608695652173</v>
      </c>
      <c r="F28">
        <v>2.564102564102564E-2</v>
      </c>
      <c r="G28">
        <v>20.25</v>
      </c>
      <c r="H28">
        <v>0.01</v>
      </c>
      <c r="I28">
        <v>20.239999999999998</v>
      </c>
      <c r="J28">
        <v>440.36999999999898</v>
      </c>
      <c r="K28">
        <v>27.83</v>
      </c>
      <c r="L28">
        <v>0</v>
      </c>
      <c r="M28" t="s">
        <v>365</v>
      </c>
      <c r="N28">
        <v>2</v>
      </c>
      <c r="O28">
        <v>32</v>
      </c>
      <c r="P28">
        <v>18.190000000000001</v>
      </c>
      <c r="Q28">
        <v>6</v>
      </c>
      <c r="R28">
        <v>2.06</v>
      </c>
      <c r="S28">
        <v>0</v>
      </c>
      <c r="T28">
        <v>0</v>
      </c>
      <c r="U28">
        <v>1.68</v>
      </c>
      <c r="V28">
        <v>39</v>
      </c>
      <c r="W28">
        <v>1</v>
      </c>
      <c r="X28">
        <v>1</v>
      </c>
      <c r="Y28">
        <v>0</v>
      </c>
      <c r="Z28">
        <v>0</v>
      </c>
      <c r="AA28">
        <v>20.239999999999998</v>
      </c>
      <c r="AB28" t="s">
        <v>13</v>
      </c>
      <c r="AC28">
        <v>70</v>
      </c>
      <c r="AD28">
        <v>20</v>
      </c>
      <c r="AE28">
        <v>0.1</v>
      </c>
      <c r="AF28">
        <v>0.05</v>
      </c>
      <c r="AH28">
        <v>0</v>
      </c>
      <c r="AI28" t="s">
        <v>182</v>
      </c>
      <c r="AJ28" t="s">
        <v>37</v>
      </c>
      <c r="AK28">
        <v>0.7</v>
      </c>
    </row>
    <row r="29" spans="1:37" hidden="1" x14ac:dyDescent="0.25">
      <c r="A29" s="2">
        <v>45670</v>
      </c>
      <c r="B29" t="s">
        <v>356</v>
      </c>
      <c r="C29" t="s">
        <v>357</v>
      </c>
      <c r="D29">
        <v>71</v>
      </c>
      <c r="E29">
        <v>0.84</v>
      </c>
      <c r="F29">
        <v>2.3809523809523808E-2</v>
      </c>
      <c r="G29">
        <v>36.19</v>
      </c>
      <c r="H29">
        <v>0.96</v>
      </c>
      <c r="I29">
        <v>35.229999999999997</v>
      </c>
      <c r="J29">
        <v>664.98</v>
      </c>
      <c r="K29">
        <v>59.13</v>
      </c>
      <c r="L29">
        <v>0</v>
      </c>
      <c r="M29" t="s">
        <v>358</v>
      </c>
      <c r="N29">
        <v>15</v>
      </c>
      <c r="O29">
        <v>56</v>
      </c>
      <c r="P29">
        <v>32.85</v>
      </c>
      <c r="Q29">
        <v>5</v>
      </c>
      <c r="R29">
        <v>2.38</v>
      </c>
      <c r="S29">
        <v>19.760000000000002</v>
      </c>
      <c r="T29">
        <v>17.77</v>
      </c>
      <c r="U29">
        <v>1.96</v>
      </c>
      <c r="V29">
        <v>84</v>
      </c>
      <c r="W29">
        <v>11</v>
      </c>
      <c r="X29">
        <v>2</v>
      </c>
      <c r="Y29">
        <v>0</v>
      </c>
      <c r="Z29">
        <v>0</v>
      </c>
      <c r="AA29">
        <v>35.229999999999997</v>
      </c>
      <c r="AB29" t="s">
        <v>12</v>
      </c>
      <c r="AC29">
        <v>70</v>
      </c>
      <c r="AD29">
        <v>20</v>
      </c>
      <c r="AE29">
        <v>0.1</v>
      </c>
      <c r="AF29">
        <v>0.05</v>
      </c>
      <c r="AH29">
        <v>0</v>
      </c>
      <c r="AI29" t="s">
        <v>183</v>
      </c>
      <c r="AJ29" t="s">
        <v>65</v>
      </c>
      <c r="AK29">
        <v>0.7</v>
      </c>
    </row>
    <row r="30" spans="1:37" hidden="1" x14ac:dyDescent="0.25">
      <c r="A30" s="2">
        <v>45677</v>
      </c>
      <c r="B30" t="s">
        <v>356</v>
      </c>
      <c r="C30" t="s">
        <v>357</v>
      </c>
      <c r="D30">
        <v>42</v>
      </c>
      <c r="E30">
        <v>0.88235294117647056</v>
      </c>
      <c r="F30">
        <v>0</v>
      </c>
      <c r="G30">
        <v>24.43</v>
      </c>
      <c r="H30">
        <v>0</v>
      </c>
      <c r="I30">
        <v>24.43</v>
      </c>
      <c r="J30">
        <v>355.25</v>
      </c>
      <c r="K30">
        <v>3</v>
      </c>
      <c r="L30">
        <v>0</v>
      </c>
      <c r="M30" t="s">
        <v>358</v>
      </c>
      <c r="N30">
        <v>5</v>
      </c>
      <c r="O30">
        <v>37</v>
      </c>
      <c r="P30">
        <v>17.03</v>
      </c>
      <c r="Q30">
        <v>5</v>
      </c>
      <c r="R30">
        <v>7.39</v>
      </c>
      <c r="S30">
        <v>23.51</v>
      </c>
      <c r="T30">
        <v>16.18</v>
      </c>
      <c r="U30">
        <v>1.72</v>
      </c>
      <c r="V30">
        <v>45</v>
      </c>
      <c r="W30">
        <v>1</v>
      </c>
      <c r="X30">
        <v>0</v>
      </c>
      <c r="Y30">
        <v>0</v>
      </c>
      <c r="Z30">
        <v>0</v>
      </c>
      <c r="AA30">
        <v>24.43</v>
      </c>
      <c r="AB30" t="s">
        <v>13</v>
      </c>
      <c r="AC30">
        <v>70</v>
      </c>
      <c r="AD30">
        <v>20</v>
      </c>
      <c r="AE30">
        <v>0.1</v>
      </c>
      <c r="AF30">
        <v>0.05</v>
      </c>
      <c r="AH30">
        <v>0</v>
      </c>
      <c r="AI30" t="s">
        <v>183</v>
      </c>
      <c r="AJ30" t="s">
        <v>65</v>
      </c>
      <c r="AK30">
        <v>0.7</v>
      </c>
    </row>
    <row r="31" spans="1:37" hidden="1" x14ac:dyDescent="0.25">
      <c r="A31" s="2">
        <v>45670</v>
      </c>
      <c r="B31" t="s">
        <v>311</v>
      </c>
      <c r="C31" t="s">
        <v>315</v>
      </c>
      <c r="D31">
        <v>17</v>
      </c>
      <c r="E31">
        <v>1</v>
      </c>
      <c r="F31">
        <v>0</v>
      </c>
      <c r="G31">
        <v>14.75</v>
      </c>
      <c r="H31">
        <v>1.76</v>
      </c>
      <c r="I31">
        <v>12.99</v>
      </c>
      <c r="J31">
        <v>183.61</v>
      </c>
      <c r="K31">
        <v>0</v>
      </c>
      <c r="L31">
        <v>0</v>
      </c>
      <c r="M31" t="s">
        <v>338</v>
      </c>
      <c r="N31">
        <v>5</v>
      </c>
      <c r="O31">
        <v>12</v>
      </c>
      <c r="P31">
        <v>9.9</v>
      </c>
      <c r="Q31">
        <v>0</v>
      </c>
      <c r="R31">
        <v>3.09</v>
      </c>
      <c r="S31">
        <v>9.15</v>
      </c>
      <c r="T31">
        <v>6.57</v>
      </c>
      <c r="U31">
        <v>1.1499999999999999</v>
      </c>
      <c r="V31">
        <v>27</v>
      </c>
      <c r="W31">
        <v>0</v>
      </c>
      <c r="X31">
        <v>0</v>
      </c>
      <c r="Y31">
        <v>12.99</v>
      </c>
      <c r="Z31">
        <v>0</v>
      </c>
      <c r="AA31">
        <v>0</v>
      </c>
      <c r="AB31" t="s">
        <v>12</v>
      </c>
      <c r="AC31">
        <v>70</v>
      </c>
      <c r="AD31">
        <v>20</v>
      </c>
      <c r="AE31">
        <v>0.1</v>
      </c>
      <c r="AF31">
        <v>0.05</v>
      </c>
      <c r="AH31">
        <v>12.99</v>
      </c>
      <c r="AI31" t="s">
        <v>184</v>
      </c>
      <c r="AJ31" t="s">
        <v>37</v>
      </c>
      <c r="AK31">
        <v>0.7</v>
      </c>
    </row>
    <row r="32" spans="1:37" hidden="1" x14ac:dyDescent="0.25">
      <c r="A32" s="2">
        <v>45677</v>
      </c>
      <c r="B32" t="s">
        <v>311</v>
      </c>
      <c r="C32" t="s">
        <v>315</v>
      </c>
      <c r="D32">
        <v>56</v>
      </c>
      <c r="E32">
        <v>1</v>
      </c>
      <c r="F32">
        <v>2.6315789473684209E-2</v>
      </c>
      <c r="G32">
        <v>39.619999999999997</v>
      </c>
      <c r="H32">
        <v>1.99</v>
      </c>
      <c r="I32">
        <v>37.629999999999995</v>
      </c>
      <c r="J32">
        <v>617.16999999999996</v>
      </c>
      <c r="K32">
        <v>29</v>
      </c>
      <c r="L32">
        <v>0</v>
      </c>
      <c r="M32" t="s">
        <v>338</v>
      </c>
      <c r="N32">
        <v>6</v>
      </c>
      <c r="O32">
        <v>50</v>
      </c>
      <c r="P32">
        <v>28.28</v>
      </c>
      <c r="Q32">
        <v>0</v>
      </c>
      <c r="R32">
        <v>9.35</v>
      </c>
      <c r="S32">
        <v>12.25</v>
      </c>
      <c r="T32">
        <v>9.5500000000000007</v>
      </c>
      <c r="U32">
        <v>1.41</v>
      </c>
      <c r="V32">
        <v>76</v>
      </c>
      <c r="W32">
        <v>0</v>
      </c>
      <c r="X32">
        <v>2</v>
      </c>
      <c r="Y32">
        <v>37.629999999999995</v>
      </c>
      <c r="Z32">
        <v>0</v>
      </c>
      <c r="AA32">
        <v>0</v>
      </c>
      <c r="AB32" t="s">
        <v>13</v>
      </c>
      <c r="AC32">
        <v>70</v>
      </c>
      <c r="AD32">
        <v>20</v>
      </c>
      <c r="AE32">
        <v>0.1</v>
      </c>
      <c r="AF32">
        <v>0.05</v>
      </c>
      <c r="AH32">
        <v>37.629999999999995</v>
      </c>
      <c r="AI32" t="s">
        <v>184</v>
      </c>
      <c r="AJ32" t="s">
        <v>37</v>
      </c>
      <c r="AK32">
        <v>0.7</v>
      </c>
    </row>
    <row r="33" spans="1:37" hidden="1" x14ac:dyDescent="0.25">
      <c r="A33" s="2">
        <v>45670</v>
      </c>
      <c r="B33" t="s">
        <v>316</v>
      </c>
      <c r="C33" t="s">
        <v>317</v>
      </c>
      <c r="D33">
        <v>78</v>
      </c>
      <c r="E33">
        <v>1</v>
      </c>
      <c r="F33">
        <v>0</v>
      </c>
      <c r="G33">
        <v>35.19</v>
      </c>
      <c r="H33">
        <v>0.01</v>
      </c>
      <c r="I33">
        <v>35.18</v>
      </c>
      <c r="J33">
        <v>742.28</v>
      </c>
      <c r="K33">
        <v>13.5</v>
      </c>
      <c r="L33">
        <v>0</v>
      </c>
      <c r="M33" t="s">
        <v>342</v>
      </c>
      <c r="N33">
        <v>10</v>
      </c>
      <c r="O33">
        <v>68</v>
      </c>
      <c r="P33">
        <v>33.549999999999997</v>
      </c>
      <c r="Q33">
        <v>0</v>
      </c>
      <c r="R33">
        <v>1.63</v>
      </c>
      <c r="S33">
        <v>0</v>
      </c>
      <c r="T33">
        <v>0</v>
      </c>
      <c r="U33">
        <v>2.2200000000000002</v>
      </c>
      <c r="V33">
        <v>81</v>
      </c>
      <c r="W33">
        <v>0</v>
      </c>
      <c r="X33">
        <v>0</v>
      </c>
      <c r="Y33">
        <v>35.18</v>
      </c>
      <c r="Z33">
        <v>0</v>
      </c>
      <c r="AA33">
        <v>0</v>
      </c>
      <c r="AB33" t="s">
        <v>12</v>
      </c>
      <c r="AC33">
        <v>70</v>
      </c>
      <c r="AD33">
        <v>20</v>
      </c>
      <c r="AE33">
        <v>0.1</v>
      </c>
      <c r="AF33">
        <v>0.05</v>
      </c>
      <c r="AH33">
        <v>35.18</v>
      </c>
      <c r="AI33" t="s">
        <v>185</v>
      </c>
      <c r="AJ33" t="s">
        <v>37</v>
      </c>
      <c r="AK33">
        <v>0.7</v>
      </c>
    </row>
    <row r="34" spans="1:37" hidden="1" x14ac:dyDescent="0.25">
      <c r="A34" s="2">
        <v>45677</v>
      </c>
      <c r="B34" t="s">
        <v>316</v>
      </c>
      <c r="C34" t="s">
        <v>317</v>
      </c>
      <c r="D34">
        <v>104</v>
      </c>
      <c r="E34">
        <v>0.99090909090909096</v>
      </c>
      <c r="F34">
        <v>0</v>
      </c>
      <c r="G34">
        <v>42.12</v>
      </c>
      <c r="H34">
        <v>0.01</v>
      </c>
      <c r="I34">
        <v>42.11</v>
      </c>
      <c r="J34">
        <v>1004.27</v>
      </c>
      <c r="K34">
        <v>11</v>
      </c>
      <c r="L34">
        <v>0</v>
      </c>
      <c r="M34" t="s">
        <v>342</v>
      </c>
      <c r="N34">
        <v>5</v>
      </c>
      <c r="O34">
        <v>99</v>
      </c>
      <c r="P34">
        <v>40.65</v>
      </c>
      <c r="Q34">
        <v>1</v>
      </c>
      <c r="R34">
        <v>1.46</v>
      </c>
      <c r="S34">
        <v>3.21</v>
      </c>
      <c r="T34">
        <v>3.2</v>
      </c>
      <c r="U34">
        <v>2.4700000000000002</v>
      </c>
      <c r="V34">
        <v>109</v>
      </c>
      <c r="W34">
        <v>0</v>
      </c>
      <c r="X34">
        <v>0</v>
      </c>
      <c r="Y34">
        <v>42.11</v>
      </c>
      <c r="Z34">
        <v>0</v>
      </c>
      <c r="AA34">
        <v>0</v>
      </c>
      <c r="AB34" t="s">
        <v>13</v>
      </c>
      <c r="AC34">
        <v>70</v>
      </c>
      <c r="AD34">
        <v>20</v>
      </c>
      <c r="AE34">
        <v>0.1</v>
      </c>
      <c r="AF34">
        <v>0.05</v>
      </c>
      <c r="AH34">
        <v>42.11</v>
      </c>
      <c r="AI34" t="s">
        <v>185</v>
      </c>
      <c r="AJ34" t="s">
        <v>37</v>
      </c>
      <c r="AK34">
        <v>0.7</v>
      </c>
    </row>
    <row r="35" spans="1:37" hidden="1" x14ac:dyDescent="0.25">
      <c r="A35" s="2">
        <v>45670</v>
      </c>
      <c r="B35" t="s">
        <v>349</v>
      </c>
      <c r="C35" t="s">
        <v>350</v>
      </c>
      <c r="D35">
        <v>35</v>
      </c>
      <c r="E35">
        <v>1</v>
      </c>
      <c r="F35">
        <v>0</v>
      </c>
      <c r="G35">
        <v>22.11</v>
      </c>
      <c r="H35">
        <v>0.11</v>
      </c>
      <c r="I35">
        <v>22</v>
      </c>
      <c r="J35">
        <v>297.14999999999901</v>
      </c>
      <c r="K35">
        <v>19</v>
      </c>
      <c r="L35">
        <v>0</v>
      </c>
      <c r="M35" t="s">
        <v>351</v>
      </c>
      <c r="N35">
        <v>2</v>
      </c>
      <c r="O35">
        <v>33</v>
      </c>
      <c r="P35">
        <v>12.83</v>
      </c>
      <c r="Q35">
        <v>0</v>
      </c>
      <c r="R35">
        <v>9.17</v>
      </c>
      <c r="S35">
        <v>0</v>
      </c>
      <c r="T35">
        <v>0</v>
      </c>
      <c r="U35">
        <v>1.58</v>
      </c>
      <c r="V35">
        <v>42</v>
      </c>
      <c r="W35">
        <v>0</v>
      </c>
      <c r="X35">
        <v>0</v>
      </c>
      <c r="Y35">
        <v>22</v>
      </c>
      <c r="Z35">
        <v>0</v>
      </c>
      <c r="AA35">
        <v>0</v>
      </c>
      <c r="AB35" t="s">
        <v>12</v>
      </c>
      <c r="AC35">
        <v>70</v>
      </c>
      <c r="AD35">
        <v>20</v>
      </c>
      <c r="AE35">
        <v>0.1</v>
      </c>
      <c r="AF35">
        <v>0.05</v>
      </c>
      <c r="AH35">
        <v>22</v>
      </c>
      <c r="AI35" t="s">
        <v>186</v>
      </c>
      <c r="AJ35" t="s">
        <v>48</v>
      </c>
      <c r="AK35">
        <v>0.7</v>
      </c>
    </row>
    <row r="36" spans="1:37" hidden="1" x14ac:dyDescent="0.25">
      <c r="A36" s="2">
        <v>45677</v>
      </c>
      <c r="B36" t="s">
        <v>349</v>
      </c>
      <c r="C36" t="s">
        <v>350</v>
      </c>
      <c r="D36">
        <v>34</v>
      </c>
      <c r="E36">
        <v>1</v>
      </c>
      <c r="F36">
        <v>0</v>
      </c>
      <c r="G36">
        <v>21.69</v>
      </c>
      <c r="H36">
        <v>0.19</v>
      </c>
      <c r="I36">
        <v>21.5</v>
      </c>
      <c r="J36">
        <v>282.25</v>
      </c>
      <c r="K36">
        <v>28.54</v>
      </c>
      <c r="L36">
        <v>0</v>
      </c>
      <c r="M36" t="s">
        <v>351</v>
      </c>
      <c r="N36">
        <v>4</v>
      </c>
      <c r="O36">
        <v>30</v>
      </c>
      <c r="P36">
        <v>14.37</v>
      </c>
      <c r="Q36">
        <v>0</v>
      </c>
      <c r="R36">
        <v>7.13</v>
      </c>
      <c r="S36">
        <v>0</v>
      </c>
      <c r="T36">
        <v>0</v>
      </c>
      <c r="U36">
        <v>1.57</v>
      </c>
      <c r="V36">
        <v>35</v>
      </c>
      <c r="W36">
        <v>0</v>
      </c>
      <c r="X36">
        <v>0</v>
      </c>
      <c r="Y36">
        <v>21.5</v>
      </c>
      <c r="Z36">
        <v>0</v>
      </c>
      <c r="AA36">
        <v>0</v>
      </c>
      <c r="AB36" t="s">
        <v>13</v>
      </c>
      <c r="AC36">
        <v>70</v>
      </c>
      <c r="AD36">
        <v>20</v>
      </c>
      <c r="AE36">
        <v>0.1</v>
      </c>
      <c r="AF36">
        <v>0.05</v>
      </c>
      <c r="AH36">
        <v>21.5</v>
      </c>
      <c r="AI36" t="s">
        <v>186</v>
      </c>
      <c r="AJ36" t="s">
        <v>48</v>
      </c>
      <c r="AK36">
        <v>0.7</v>
      </c>
    </row>
    <row r="37" spans="1:37" hidden="1" x14ac:dyDescent="0.25">
      <c r="A37" s="2">
        <v>45670</v>
      </c>
      <c r="B37" t="s">
        <v>359</v>
      </c>
      <c r="C37" t="s">
        <v>360</v>
      </c>
      <c r="D37">
        <v>84</v>
      </c>
      <c r="E37">
        <v>0.95327102803738317</v>
      </c>
      <c r="F37">
        <v>1.9607843137254902E-2</v>
      </c>
      <c r="G37">
        <v>40.79</v>
      </c>
      <c r="H37">
        <v>0.33</v>
      </c>
      <c r="I37">
        <v>40.46</v>
      </c>
      <c r="J37">
        <v>839.33</v>
      </c>
      <c r="K37">
        <v>67.069999999999993</v>
      </c>
      <c r="L37">
        <v>1.5</v>
      </c>
      <c r="M37" t="s">
        <v>361</v>
      </c>
      <c r="N37">
        <v>13</v>
      </c>
      <c r="O37">
        <v>71</v>
      </c>
      <c r="P37">
        <v>36.549999999999997</v>
      </c>
      <c r="Q37">
        <v>0</v>
      </c>
      <c r="R37">
        <v>3.91</v>
      </c>
      <c r="S37">
        <v>14.73</v>
      </c>
      <c r="T37">
        <v>14.27</v>
      </c>
      <c r="U37">
        <v>2.06</v>
      </c>
      <c r="V37">
        <v>102</v>
      </c>
      <c r="W37">
        <v>5</v>
      </c>
      <c r="X37">
        <v>2</v>
      </c>
      <c r="Y37">
        <v>40.46</v>
      </c>
      <c r="Z37">
        <v>0</v>
      </c>
      <c r="AA37">
        <v>0</v>
      </c>
      <c r="AB37" t="s">
        <v>12</v>
      </c>
      <c r="AC37">
        <v>70</v>
      </c>
      <c r="AD37">
        <v>20</v>
      </c>
      <c r="AE37">
        <v>0.1</v>
      </c>
      <c r="AF37">
        <v>0.05</v>
      </c>
      <c r="AH37">
        <v>40.46</v>
      </c>
      <c r="AI37" t="s">
        <v>187</v>
      </c>
      <c r="AJ37" t="s">
        <v>44</v>
      </c>
      <c r="AK37">
        <v>0.7</v>
      </c>
    </row>
    <row r="38" spans="1:37" hidden="1" x14ac:dyDescent="0.25">
      <c r="A38" s="2">
        <v>45677</v>
      </c>
      <c r="B38" t="s">
        <v>359</v>
      </c>
      <c r="C38" t="s">
        <v>360</v>
      </c>
      <c r="D38">
        <v>30</v>
      </c>
      <c r="E38">
        <v>0.96875</v>
      </c>
      <c r="F38">
        <v>3.2258064516129031E-2</v>
      </c>
      <c r="G38">
        <v>12.93</v>
      </c>
      <c r="H38">
        <v>0</v>
      </c>
      <c r="I38">
        <v>12.93</v>
      </c>
      <c r="J38">
        <v>265.58</v>
      </c>
      <c r="K38">
        <v>36.81</v>
      </c>
      <c r="L38">
        <v>0</v>
      </c>
      <c r="M38" t="s">
        <v>361</v>
      </c>
      <c r="N38">
        <v>6</v>
      </c>
      <c r="O38">
        <v>24</v>
      </c>
      <c r="P38">
        <v>12.83</v>
      </c>
      <c r="Q38">
        <v>0</v>
      </c>
      <c r="R38">
        <v>0.09</v>
      </c>
      <c r="S38">
        <v>9.43</v>
      </c>
      <c r="T38">
        <v>9.3800000000000008</v>
      </c>
      <c r="U38">
        <v>2.3199999999999998</v>
      </c>
      <c r="V38">
        <v>31</v>
      </c>
      <c r="W38">
        <v>1</v>
      </c>
      <c r="X38">
        <v>1</v>
      </c>
      <c r="Y38">
        <v>12.93</v>
      </c>
      <c r="Z38">
        <v>0</v>
      </c>
      <c r="AA38">
        <v>0</v>
      </c>
      <c r="AB38" t="s">
        <v>13</v>
      </c>
      <c r="AC38">
        <v>70</v>
      </c>
      <c r="AD38">
        <v>20</v>
      </c>
      <c r="AE38">
        <v>0.1</v>
      </c>
      <c r="AF38">
        <v>0.05</v>
      </c>
      <c r="AH38">
        <v>12.93</v>
      </c>
      <c r="AI38" t="s">
        <v>187</v>
      </c>
      <c r="AJ38" t="s">
        <v>44</v>
      </c>
      <c r="AK38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1BF3-7CF8-401B-B28A-BD72BDE90935}">
  <sheetPr codeName="Sheet9"/>
  <dimension ref="A3:T14"/>
  <sheetViews>
    <sheetView showGridLines="0" topLeftCell="B1" zoomScaleNormal="100" workbookViewId="0">
      <selection activeCell="N9" sqref="N9"/>
    </sheetView>
  </sheetViews>
  <sheetFormatPr defaultRowHeight="15" x14ac:dyDescent="0.25"/>
  <cols>
    <col min="1" max="1" width="29.7109375" bestFit="1" customWidth="1"/>
    <col min="2" max="2" width="14.85546875" bestFit="1" customWidth="1"/>
    <col min="3" max="4" width="9" customWidth="1"/>
    <col min="5" max="5" width="22" bestFit="1" customWidth="1"/>
    <col min="6" max="7" width="9" customWidth="1"/>
    <col min="10" max="10" width="21.5703125" customWidth="1"/>
    <col min="11" max="11" width="9.85546875" customWidth="1"/>
    <col min="12" max="18" width="11" style="61" customWidth="1"/>
    <col min="19" max="19" width="12.42578125" style="61" customWidth="1"/>
    <col min="20" max="20" width="11.140625" bestFit="1" customWidth="1"/>
  </cols>
  <sheetData>
    <row r="3" spans="1:20" ht="45" x14ac:dyDescent="0.25">
      <c r="A3" s="96" t="s">
        <v>166</v>
      </c>
      <c r="B3" s="96" t="s">
        <v>114</v>
      </c>
      <c r="C3" s="96" t="s">
        <v>116</v>
      </c>
      <c r="D3" s="96" t="s">
        <v>117</v>
      </c>
      <c r="E3" s="96" t="s">
        <v>118</v>
      </c>
      <c r="F3" t="s">
        <v>325</v>
      </c>
      <c r="J3" s="98" t="s">
        <v>166</v>
      </c>
      <c r="K3" s="99" t="s">
        <v>114</v>
      </c>
      <c r="L3" s="100" t="s">
        <v>370</v>
      </c>
      <c r="M3" s="100" t="s">
        <v>204</v>
      </c>
      <c r="N3" s="100" t="s">
        <v>372</v>
      </c>
      <c r="O3" s="100" t="s">
        <v>116</v>
      </c>
      <c r="P3" s="100" t="s">
        <v>117</v>
      </c>
      <c r="Q3" s="100" t="s">
        <v>118</v>
      </c>
      <c r="R3" s="100" t="s">
        <v>371</v>
      </c>
      <c r="S3" s="101" t="s">
        <v>373</v>
      </c>
      <c r="T3" s="112" t="s">
        <v>374</v>
      </c>
    </row>
    <row r="4" spans="1:20" x14ac:dyDescent="0.25">
      <c r="A4" t="s">
        <v>34</v>
      </c>
      <c r="B4" t="s">
        <v>12</v>
      </c>
      <c r="C4">
        <v>50.15</v>
      </c>
      <c r="D4">
        <v>50</v>
      </c>
      <c r="E4">
        <v>0</v>
      </c>
      <c r="F4" s="97">
        <v>0</v>
      </c>
      <c r="J4" s="102" t="s">
        <v>34</v>
      </c>
      <c r="K4" s="103" t="s">
        <v>12</v>
      </c>
      <c r="L4" s="104">
        <v>50</v>
      </c>
      <c r="M4" s="104"/>
      <c r="N4" s="104">
        <f>+L4+M4</f>
        <v>50</v>
      </c>
      <c r="O4" s="104">
        <v>50.15</v>
      </c>
      <c r="P4" s="104">
        <v>50</v>
      </c>
      <c r="Q4" s="104">
        <v>0</v>
      </c>
      <c r="R4" s="104">
        <f>+P4+Q4</f>
        <v>50</v>
      </c>
      <c r="S4" s="110">
        <f t="shared" ref="S4:S13" si="0">+O4-R4</f>
        <v>0.14999999999999858</v>
      </c>
      <c r="T4" s="113">
        <f t="shared" ref="T4:T13" si="1">+O4/L4</f>
        <v>1.0029999999999999</v>
      </c>
    </row>
    <row r="5" spans="1:20" x14ac:dyDescent="0.25">
      <c r="A5" t="s">
        <v>34</v>
      </c>
      <c r="B5" t="s">
        <v>13</v>
      </c>
      <c r="C5">
        <v>50.01</v>
      </c>
      <c r="D5">
        <v>50</v>
      </c>
      <c r="E5">
        <v>0</v>
      </c>
      <c r="F5" s="97">
        <v>0</v>
      </c>
      <c r="J5" s="102" t="s">
        <v>34</v>
      </c>
      <c r="K5" s="103" t="s">
        <v>13</v>
      </c>
      <c r="L5" s="104">
        <v>50</v>
      </c>
      <c r="M5" s="104"/>
      <c r="N5" s="104">
        <f t="shared" ref="N5:N13" si="2">+L5+M5</f>
        <v>50</v>
      </c>
      <c r="O5" s="104">
        <v>50.01</v>
      </c>
      <c r="P5" s="104">
        <v>50</v>
      </c>
      <c r="Q5" s="104">
        <v>0</v>
      </c>
      <c r="R5" s="104">
        <f t="shared" ref="R5:R13" si="3">+P5+Q5</f>
        <v>50</v>
      </c>
      <c r="S5" s="110">
        <f t="shared" si="0"/>
        <v>9.9999999999980105E-3</v>
      </c>
      <c r="T5" s="114">
        <f t="shared" si="1"/>
        <v>1.0002</v>
      </c>
    </row>
    <row r="6" spans="1:20" x14ac:dyDescent="0.25">
      <c r="A6" t="s">
        <v>37</v>
      </c>
      <c r="B6" t="s">
        <v>12</v>
      </c>
      <c r="C6">
        <v>201.35000000000002</v>
      </c>
      <c r="D6">
        <v>140</v>
      </c>
      <c r="E6">
        <v>61.350000000000023</v>
      </c>
      <c r="F6" s="97">
        <f t="shared" ref="F6:F13" si="4">+C6-D6-E6</f>
        <v>0</v>
      </c>
      <c r="J6" s="102" t="s">
        <v>37</v>
      </c>
      <c r="K6" s="103" t="s">
        <v>12</v>
      </c>
      <c r="L6" s="104">
        <v>210</v>
      </c>
      <c r="M6" s="104"/>
      <c r="N6" s="104">
        <f t="shared" si="2"/>
        <v>210</v>
      </c>
      <c r="O6" s="104">
        <v>201.35000000000002</v>
      </c>
      <c r="P6" s="104">
        <v>140</v>
      </c>
      <c r="Q6" s="104">
        <v>61.350000000000023</v>
      </c>
      <c r="R6" s="104">
        <f t="shared" si="3"/>
        <v>201.35000000000002</v>
      </c>
      <c r="S6" s="110">
        <f t="shared" si="0"/>
        <v>0</v>
      </c>
      <c r="T6" s="114">
        <f t="shared" si="1"/>
        <v>0.95880952380952389</v>
      </c>
    </row>
    <row r="7" spans="1:20" x14ac:dyDescent="0.25">
      <c r="A7" t="s">
        <v>37</v>
      </c>
      <c r="B7" t="s">
        <v>13</v>
      </c>
      <c r="C7">
        <v>203.66000000000003</v>
      </c>
      <c r="D7">
        <v>140</v>
      </c>
      <c r="E7">
        <v>63.660000000000025</v>
      </c>
      <c r="F7" s="97">
        <v>0</v>
      </c>
      <c r="J7" s="102" t="s">
        <v>37</v>
      </c>
      <c r="K7" s="103" t="s">
        <v>13</v>
      </c>
      <c r="L7" s="104">
        <v>210</v>
      </c>
      <c r="M7" s="104"/>
      <c r="N7" s="104">
        <f t="shared" si="2"/>
        <v>210</v>
      </c>
      <c r="O7" s="104">
        <v>203.66000000000003</v>
      </c>
      <c r="P7" s="104">
        <v>140</v>
      </c>
      <c r="Q7" s="104">
        <v>63.660000000000025</v>
      </c>
      <c r="R7" s="104">
        <f t="shared" si="3"/>
        <v>203.66000000000003</v>
      </c>
      <c r="S7" s="110">
        <f t="shared" si="0"/>
        <v>0</v>
      </c>
      <c r="T7" s="114">
        <f t="shared" si="1"/>
        <v>0.9698095238095239</v>
      </c>
    </row>
    <row r="8" spans="1:20" x14ac:dyDescent="0.25">
      <c r="A8" t="s">
        <v>44</v>
      </c>
      <c r="B8" t="s">
        <v>12</v>
      </c>
      <c r="C8">
        <v>40.46</v>
      </c>
      <c r="D8">
        <v>40.46</v>
      </c>
      <c r="E8">
        <v>0</v>
      </c>
      <c r="F8" s="97">
        <f t="shared" si="4"/>
        <v>0</v>
      </c>
      <c r="J8" s="102" t="s">
        <v>44</v>
      </c>
      <c r="K8" s="103" t="s">
        <v>12</v>
      </c>
      <c r="L8" s="104">
        <v>60</v>
      </c>
      <c r="M8" s="104"/>
      <c r="N8" s="104">
        <f t="shared" si="2"/>
        <v>60</v>
      </c>
      <c r="O8" s="104">
        <v>40.46</v>
      </c>
      <c r="P8" s="104">
        <v>40.46</v>
      </c>
      <c r="Q8" s="104">
        <v>0</v>
      </c>
      <c r="R8" s="104">
        <f t="shared" si="3"/>
        <v>40.46</v>
      </c>
      <c r="S8" s="110">
        <f t="shared" si="0"/>
        <v>0</v>
      </c>
      <c r="T8" s="114">
        <f t="shared" si="1"/>
        <v>0.67433333333333334</v>
      </c>
    </row>
    <row r="9" spans="1:20" x14ac:dyDescent="0.25">
      <c r="A9" t="s">
        <v>44</v>
      </c>
      <c r="B9" t="s">
        <v>13</v>
      </c>
      <c r="C9">
        <v>12.93</v>
      </c>
      <c r="D9">
        <v>12.93</v>
      </c>
      <c r="E9">
        <v>0</v>
      </c>
      <c r="F9" s="97">
        <f t="shared" si="4"/>
        <v>0</v>
      </c>
      <c r="J9" s="102" t="s">
        <v>44</v>
      </c>
      <c r="K9" s="103" t="s">
        <v>13</v>
      </c>
      <c r="L9" s="104">
        <v>60</v>
      </c>
      <c r="M9" s="104"/>
      <c r="N9" s="104">
        <f t="shared" si="2"/>
        <v>60</v>
      </c>
      <c r="O9" s="104">
        <v>12.93</v>
      </c>
      <c r="P9" s="104">
        <v>12.93</v>
      </c>
      <c r="Q9" s="104">
        <v>0</v>
      </c>
      <c r="R9" s="104">
        <f t="shared" si="3"/>
        <v>12.93</v>
      </c>
      <c r="S9" s="110">
        <f t="shared" si="0"/>
        <v>0</v>
      </c>
      <c r="T9" s="114">
        <f t="shared" si="1"/>
        <v>0.2155</v>
      </c>
    </row>
    <row r="10" spans="1:20" x14ac:dyDescent="0.25">
      <c r="A10" t="s">
        <v>48</v>
      </c>
      <c r="B10" t="s">
        <v>12</v>
      </c>
      <c r="C10">
        <v>220.63999999999996</v>
      </c>
      <c r="D10">
        <v>140</v>
      </c>
      <c r="E10">
        <v>80</v>
      </c>
      <c r="F10" s="97">
        <v>0</v>
      </c>
      <c r="J10" s="102" t="s">
        <v>48</v>
      </c>
      <c r="K10" s="103" t="s">
        <v>12</v>
      </c>
      <c r="L10" s="104">
        <v>220</v>
      </c>
      <c r="M10" s="104"/>
      <c r="N10" s="104">
        <f t="shared" si="2"/>
        <v>220</v>
      </c>
      <c r="O10" s="104">
        <v>220.63999999999996</v>
      </c>
      <c r="P10" s="104">
        <v>140</v>
      </c>
      <c r="Q10" s="104">
        <v>80</v>
      </c>
      <c r="R10" s="104">
        <f t="shared" si="3"/>
        <v>220</v>
      </c>
      <c r="S10" s="110">
        <f t="shared" si="0"/>
        <v>0.63999999999995794</v>
      </c>
      <c r="T10" s="114">
        <f t="shared" si="1"/>
        <v>1.0029090909090908</v>
      </c>
    </row>
    <row r="11" spans="1:20" x14ac:dyDescent="0.25">
      <c r="A11" t="s">
        <v>48</v>
      </c>
      <c r="B11" t="s">
        <v>13</v>
      </c>
      <c r="C11">
        <v>220.75</v>
      </c>
      <c r="D11">
        <v>140</v>
      </c>
      <c r="E11">
        <v>80</v>
      </c>
      <c r="F11" s="108">
        <v>0</v>
      </c>
      <c r="J11" s="102" t="s">
        <v>48</v>
      </c>
      <c r="K11" s="103" t="s">
        <v>13</v>
      </c>
      <c r="L11" s="104">
        <v>220</v>
      </c>
      <c r="M11" s="104"/>
      <c r="N11" s="104">
        <f t="shared" si="2"/>
        <v>220</v>
      </c>
      <c r="O11" s="104">
        <v>220.75</v>
      </c>
      <c r="P11" s="104">
        <v>140</v>
      </c>
      <c r="Q11" s="104">
        <v>80</v>
      </c>
      <c r="R11" s="104">
        <f t="shared" si="3"/>
        <v>220</v>
      </c>
      <c r="S11" s="110">
        <f t="shared" si="0"/>
        <v>0.75</v>
      </c>
      <c r="T11" s="114">
        <f t="shared" si="1"/>
        <v>1.0034090909090909</v>
      </c>
    </row>
    <row r="12" spans="1:20" x14ac:dyDescent="0.25">
      <c r="A12" t="s">
        <v>65</v>
      </c>
      <c r="B12" t="s">
        <v>12</v>
      </c>
      <c r="C12">
        <v>101.46000000000001</v>
      </c>
      <c r="D12">
        <v>70</v>
      </c>
      <c r="E12">
        <v>31</v>
      </c>
      <c r="F12" s="109">
        <f t="shared" si="4"/>
        <v>0.46000000000000796</v>
      </c>
      <c r="J12" s="102" t="s">
        <v>65</v>
      </c>
      <c r="K12" s="103" t="s">
        <v>12</v>
      </c>
      <c r="L12" s="104">
        <v>100</v>
      </c>
      <c r="M12" s="104"/>
      <c r="N12" s="104">
        <f t="shared" si="2"/>
        <v>100</v>
      </c>
      <c r="O12" s="104">
        <v>101.46000000000001</v>
      </c>
      <c r="P12" s="104">
        <v>70</v>
      </c>
      <c r="Q12" s="104">
        <v>31</v>
      </c>
      <c r="R12" s="104">
        <f t="shared" si="3"/>
        <v>101</v>
      </c>
      <c r="S12" s="110">
        <f t="shared" si="0"/>
        <v>0.46000000000000796</v>
      </c>
      <c r="T12" s="114">
        <f t="shared" si="1"/>
        <v>1.0146000000000002</v>
      </c>
    </row>
    <row r="13" spans="1:20" x14ac:dyDescent="0.25">
      <c r="A13" t="s">
        <v>65</v>
      </c>
      <c r="B13" t="s">
        <v>13</v>
      </c>
      <c r="C13">
        <v>106.31</v>
      </c>
      <c r="D13">
        <v>70</v>
      </c>
      <c r="E13">
        <v>36</v>
      </c>
      <c r="F13" s="109">
        <f t="shared" si="4"/>
        <v>0.31000000000000227</v>
      </c>
      <c r="J13" s="105" t="s">
        <v>65</v>
      </c>
      <c r="K13" s="106" t="s">
        <v>13</v>
      </c>
      <c r="L13" s="107">
        <v>100</v>
      </c>
      <c r="M13" s="107"/>
      <c r="N13" s="104">
        <f t="shared" si="2"/>
        <v>100</v>
      </c>
      <c r="O13" s="107">
        <v>106.31</v>
      </c>
      <c r="P13" s="107">
        <v>70</v>
      </c>
      <c r="Q13" s="107">
        <v>36</v>
      </c>
      <c r="R13" s="107">
        <f t="shared" si="3"/>
        <v>106</v>
      </c>
      <c r="S13" s="111">
        <f t="shared" si="0"/>
        <v>0.31000000000000227</v>
      </c>
      <c r="T13" s="115">
        <f t="shared" si="1"/>
        <v>1.0630999999999999</v>
      </c>
    </row>
    <row r="14" spans="1:20" x14ac:dyDescent="0.25">
      <c r="A14" t="s">
        <v>322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J11"/>
  <sheetViews>
    <sheetView workbookViewId="0">
      <selection activeCell="C1" sqref="C1:C1048576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3.140625" bestFit="1" customWidth="1"/>
    <col min="5" max="5" width="22" bestFit="1" customWidth="1"/>
    <col min="6" max="6" width="24" bestFit="1" customWidth="1"/>
    <col min="7" max="7" width="16.85546875" bestFit="1" customWidth="1"/>
    <col min="8" max="8" width="18.140625" bestFit="1" customWidth="1"/>
    <col min="9" max="11" width="15.42578125" bestFit="1" customWidth="1"/>
    <col min="12" max="12" width="18" bestFit="1" customWidth="1"/>
    <col min="13" max="13" width="18.85546875" bestFit="1" customWidth="1"/>
    <col min="14" max="15" width="22.42578125" bestFit="1" customWidth="1"/>
    <col min="16" max="16" width="14.140625" bestFit="1" customWidth="1"/>
    <col min="17" max="17" width="16.42578125" bestFit="1" customWidth="1"/>
    <col min="18" max="18" width="12.7109375" bestFit="1" customWidth="1"/>
    <col min="19" max="19" width="7.42578125" bestFit="1" customWidth="1"/>
    <col min="20" max="20" width="14" bestFit="1" customWidth="1"/>
    <col min="21" max="21" width="11.42578125" bestFit="1" customWidth="1"/>
    <col min="22" max="22" width="22.5703125" bestFit="1" customWidth="1"/>
    <col min="23" max="23" width="11.42578125" bestFit="1" customWidth="1"/>
    <col min="24" max="24" width="10" bestFit="1" customWidth="1"/>
    <col min="25" max="25" width="21.140625" bestFit="1" customWidth="1"/>
    <col min="26" max="27" width="18.5703125" bestFit="1" customWidth="1"/>
    <col min="28" max="28" width="22" bestFit="1" customWidth="1"/>
    <col min="29" max="29" width="22.7109375" bestFit="1" customWidth="1"/>
    <col min="30" max="30" width="9.7109375" bestFit="1" customWidth="1"/>
    <col min="31" max="31" width="29.7109375" bestFit="1" customWidth="1"/>
    <col min="32" max="32" width="18.140625" bestFit="1" customWidth="1"/>
    <col min="33" max="33" width="20" bestFit="1" customWidth="1"/>
    <col min="34" max="34" width="15.42578125" bestFit="1" customWidth="1"/>
    <col min="35" max="35" width="12.5703125" bestFit="1" customWidth="1"/>
    <col min="36" max="36" width="16.85546875" bestFit="1" customWidth="1"/>
    <col min="37" max="37" width="16" bestFit="1" customWidth="1"/>
    <col min="38" max="38" width="13.7109375" bestFit="1" customWidth="1"/>
    <col min="39" max="39" width="24.7109375" bestFit="1" customWidth="1"/>
    <col min="40" max="40" width="20.7109375" bestFit="1" customWidth="1"/>
    <col min="41" max="41" width="16.7109375" bestFit="1" customWidth="1"/>
    <col min="42" max="42" width="15" bestFit="1" customWidth="1"/>
    <col min="43" max="43" width="14.5703125" bestFit="1" customWidth="1"/>
    <col min="44" max="44" width="14.85546875" bestFit="1" customWidth="1"/>
    <col min="45" max="45" width="11.7109375" bestFit="1" customWidth="1"/>
    <col min="46" max="46" width="11.5703125" bestFit="1" customWidth="1"/>
    <col min="47" max="48" width="19.85546875" bestFit="1" customWidth="1"/>
    <col min="49" max="49" width="18.7109375" bestFit="1" customWidth="1"/>
    <col min="50" max="50" width="7.28515625" bestFit="1" customWidth="1"/>
    <col min="51" max="51" width="13.140625" bestFit="1" customWidth="1"/>
    <col min="52" max="52" width="11.85546875" bestFit="1" customWidth="1"/>
    <col min="53" max="55" width="11.5703125" bestFit="1" customWidth="1"/>
    <col min="56" max="58" width="16.140625" bestFit="1" customWidth="1"/>
    <col min="59" max="59" width="26.140625" bestFit="1" customWidth="1"/>
    <col min="60" max="60" width="15.5703125" bestFit="1" customWidth="1"/>
    <col min="61" max="61" width="17.42578125" bestFit="1" customWidth="1"/>
    <col min="62" max="63" width="24.85546875" bestFit="1" customWidth="1"/>
    <col min="64" max="64" width="16.85546875" customWidth="1"/>
    <col min="65" max="65" width="7" bestFit="1" customWidth="1"/>
    <col min="66" max="66" width="10.140625" bestFit="1" customWidth="1"/>
    <col min="67" max="67" width="9.5703125" bestFit="1" customWidth="1"/>
    <col min="68" max="68" width="18" bestFit="1" customWidth="1"/>
    <col min="69" max="69" width="11.28515625" bestFit="1" customWidth="1"/>
    <col min="70" max="71" width="17.7109375" bestFit="1" customWidth="1"/>
    <col min="72" max="72" width="16.7109375" bestFit="1" customWidth="1"/>
    <col min="73" max="73" width="14" bestFit="1" customWidth="1"/>
    <col min="74" max="74" width="17.28515625" bestFit="1" customWidth="1"/>
    <col min="75" max="75" width="16.28515625" bestFit="1" customWidth="1"/>
    <col min="76" max="76" width="14.7109375" bestFit="1" customWidth="1"/>
    <col min="77" max="77" width="13.7109375" bestFit="1" customWidth="1"/>
    <col min="78" max="78" width="10.7109375" bestFit="1" customWidth="1"/>
    <col min="79" max="79" width="15.7109375" bestFit="1" customWidth="1"/>
    <col min="80" max="80" width="15.28515625" bestFit="1" customWidth="1"/>
    <col min="81" max="81" width="17.42578125" bestFit="1" customWidth="1"/>
    <col min="82" max="82" width="10.85546875" bestFit="1" customWidth="1"/>
    <col min="83" max="83" width="11.7109375" bestFit="1" customWidth="1"/>
  </cols>
  <sheetData>
    <row r="1" spans="1:62" x14ac:dyDescent="0.2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188</v>
      </c>
      <c r="G1" t="s">
        <v>189</v>
      </c>
      <c r="H1" t="s">
        <v>190</v>
      </c>
      <c r="I1" t="s">
        <v>191</v>
      </c>
      <c r="J1" t="s">
        <v>192</v>
      </c>
      <c r="K1" t="s">
        <v>193</v>
      </c>
      <c r="L1" t="s">
        <v>125</v>
      </c>
      <c r="M1" t="s">
        <v>126</v>
      </c>
      <c r="N1" t="s">
        <v>194</v>
      </c>
      <c r="O1" t="s">
        <v>195</v>
      </c>
      <c r="P1" t="s">
        <v>127</v>
      </c>
      <c r="Q1" t="s">
        <v>128</v>
      </c>
      <c r="R1" t="s">
        <v>129</v>
      </c>
      <c r="S1" t="s">
        <v>24</v>
      </c>
      <c r="T1" t="s">
        <v>196</v>
      </c>
      <c r="U1" t="s">
        <v>131</v>
      </c>
      <c r="V1" t="s">
        <v>197</v>
      </c>
      <c r="W1" t="s">
        <v>198</v>
      </c>
      <c r="X1" t="s">
        <v>199</v>
      </c>
      <c r="Y1" t="s">
        <v>200</v>
      </c>
      <c r="Z1" t="s">
        <v>201</v>
      </c>
      <c r="AA1" t="s">
        <v>202</v>
      </c>
      <c r="AB1" t="s">
        <v>203</v>
      </c>
      <c r="AC1" t="s">
        <v>204</v>
      </c>
      <c r="AD1" t="s">
        <v>138</v>
      </c>
      <c r="AE1" t="s">
        <v>166</v>
      </c>
      <c r="AF1" t="s">
        <v>141</v>
      </c>
      <c r="AG1" t="s">
        <v>142</v>
      </c>
      <c r="AH1" t="s">
        <v>143</v>
      </c>
      <c r="AI1" t="s">
        <v>150</v>
      </c>
      <c r="AJ1" t="s">
        <v>151</v>
      </c>
      <c r="AK1" t="s">
        <v>152</v>
      </c>
      <c r="AL1" t="s">
        <v>154</v>
      </c>
      <c r="AM1" t="s">
        <v>205</v>
      </c>
      <c r="AN1" t="s">
        <v>206</v>
      </c>
      <c r="AO1" t="s">
        <v>207</v>
      </c>
      <c r="AP1" t="s">
        <v>208</v>
      </c>
      <c r="AQ1" t="s">
        <v>209</v>
      </c>
      <c r="AR1" t="s">
        <v>210</v>
      </c>
      <c r="AS1" t="s">
        <v>164</v>
      </c>
      <c r="AT1" t="s">
        <v>211</v>
      </c>
      <c r="AU1" t="s">
        <v>8</v>
      </c>
      <c r="AV1" t="s">
        <v>9</v>
      </c>
      <c r="AW1" t="s">
        <v>7</v>
      </c>
      <c r="AX1" t="s">
        <v>212</v>
      </c>
      <c r="AY1" t="s">
        <v>213</v>
      </c>
      <c r="AZ1" t="s">
        <v>214</v>
      </c>
      <c r="BA1" t="s">
        <v>215</v>
      </c>
      <c r="BB1" t="s">
        <v>216</v>
      </c>
      <c r="BC1" t="s">
        <v>217</v>
      </c>
      <c r="BD1" t="s">
        <v>218</v>
      </c>
      <c r="BE1" t="s">
        <v>219</v>
      </c>
      <c r="BF1" t="s">
        <v>220</v>
      </c>
      <c r="BG1" t="s">
        <v>221</v>
      </c>
      <c r="BH1" t="s">
        <v>222</v>
      </c>
      <c r="BI1" t="s">
        <v>223</v>
      </c>
      <c r="BJ1" t="s">
        <v>224</v>
      </c>
    </row>
    <row r="2" spans="1:62" x14ac:dyDescent="0.25">
      <c r="A2" t="s">
        <v>12</v>
      </c>
      <c r="B2">
        <v>50</v>
      </c>
      <c r="C2">
        <v>50.15</v>
      </c>
      <c r="D2">
        <v>50</v>
      </c>
      <c r="E2">
        <v>0</v>
      </c>
      <c r="F2">
        <v>1</v>
      </c>
      <c r="G2">
        <v>1022.125</v>
      </c>
      <c r="H2">
        <v>0</v>
      </c>
      <c r="I2">
        <v>314.5</v>
      </c>
      <c r="J2">
        <v>0</v>
      </c>
      <c r="K2">
        <v>0</v>
      </c>
      <c r="L2">
        <v>1</v>
      </c>
      <c r="M2">
        <v>2.3076923076923099E-2</v>
      </c>
      <c r="N2">
        <v>157.25</v>
      </c>
      <c r="O2">
        <v>0</v>
      </c>
      <c r="P2">
        <v>0.96570289132602205</v>
      </c>
      <c r="Q2">
        <v>78.625</v>
      </c>
      <c r="R2">
        <v>53.35</v>
      </c>
      <c r="S2">
        <v>0</v>
      </c>
      <c r="T2">
        <v>0</v>
      </c>
      <c r="U2">
        <v>1625.85</v>
      </c>
      <c r="V2">
        <v>50</v>
      </c>
      <c r="W2">
        <v>50</v>
      </c>
      <c r="X2">
        <v>314.5</v>
      </c>
      <c r="Y2">
        <v>0</v>
      </c>
      <c r="Z2">
        <v>50</v>
      </c>
      <c r="AA2">
        <v>0</v>
      </c>
      <c r="AB2">
        <v>157.25</v>
      </c>
      <c r="AC2">
        <v>0</v>
      </c>
      <c r="AD2" s="2">
        <v>45670</v>
      </c>
      <c r="AE2" t="s">
        <v>34</v>
      </c>
      <c r="AF2">
        <v>111</v>
      </c>
      <c r="AG2">
        <v>50.15</v>
      </c>
      <c r="AH2">
        <v>0</v>
      </c>
      <c r="AI2">
        <v>11</v>
      </c>
      <c r="AJ2">
        <v>100</v>
      </c>
      <c r="AK2">
        <v>48.43</v>
      </c>
      <c r="AL2">
        <v>1.72</v>
      </c>
      <c r="AM2">
        <v>10.34</v>
      </c>
      <c r="AN2">
        <v>10.08</v>
      </c>
      <c r="AO2">
        <v>2.21</v>
      </c>
      <c r="AP2">
        <v>130</v>
      </c>
      <c r="AQ2">
        <v>0</v>
      </c>
      <c r="AR2">
        <v>3</v>
      </c>
      <c r="AS2">
        <v>50.15</v>
      </c>
      <c r="AU2">
        <v>0.1</v>
      </c>
      <c r="AV2">
        <v>0.05</v>
      </c>
      <c r="AW2">
        <v>0.7</v>
      </c>
      <c r="AX2">
        <v>31.45</v>
      </c>
      <c r="AY2">
        <v>41.4</v>
      </c>
      <c r="AZ2">
        <v>0.65</v>
      </c>
      <c r="BA2">
        <v>0.98</v>
      </c>
      <c r="BB2">
        <v>0.96</v>
      </c>
      <c r="BC2">
        <v>0.94</v>
      </c>
      <c r="BD2">
        <v>0.2</v>
      </c>
      <c r="BE2">
        <v>0.1</v>
      </c>
      <c r="BF2">
        <v>0.05</v>
      </c>
      <c r="BG2">
        <v>0.05</v>
      </c>
      <c r="BH2">
        <v>70</v>
      </c>
      <c r="BI2">
        <v>0</v>
      </c>
      <c r="BJ2">
        <v>1019.9</v>
      </c>
    </row>
    <row r="3" spans="1:62" x14ac:dyDescent="0.25">
      <c r="A3" t="s">
        <v>12</v>
      </c>
      <c r="B3">
        <v>220</v>
      </c>
      <c r="C3">
        <v>220.63999999999996</v>
      </c>
      <c r="D3">
        <v>140</v>
      </c>
      <c r="E3">
        <v>80</v>
      </c>
      <c r="F3">
        <v>1</v>
      </c>
      <c r="G3">
        <v>2866.5</v>
      </c>
      <c r="H3">
        <v>2132</v>
      </c>
      <c r="I3">
        <v>1538.0000000000002</v>
      </c>
      <c r="J3">
        <v>0</v>
      </c>
      <c r="K3">
        <v>0</v>
      </c>
      <c r="L3">
        <v>0.99206349206349198</v>
      </c>
      <c r="M3">
        <v>1.0666666666666699E-2</v>
      </c>
      <c r="N3">
        <v>769</v>
      </c>
      <c r="O3">
        <v>0</v>
      </c>
      <c r="P3">
        <v>0.72570703408266901</v>
      </c>
      <c r="Q3">
        <v>384.5</v>
      </c>
      <c r="R3">
        <v>118.37</v>
      </c>
      <c r="S3">
        <v>0</v>
      </c>
      <c r="T3">
        <v>0</v>
      </c>
      <c r="U3">
        <v>7808.37</v>
      </c>
      <c r="V3">
        <v>220</v>
      </c>
      <c r="W3">
        <v>220</v>
      </c>
      <c r="X3">
        <v>1538</v>
      </c>
      <c r="Y3">
        <v>1</v>
      </c>
      <c r="Z3">
        <v>220</v>
      </c>
      <c r="AA3">
        <v>0</v>
      </c>
      <c r="AB3">
        <v>769</v>
      </c>
      <c r="AC3">
        <v>0</v>
      </c>
      <c r="AD3" s="2">
        <v>45670</v>
      </c>
      <c r="AE3" t="s">
        <v>48</v>
      </c>
      <c r="AF3">
        <v>332</v>
      </c>
      <c r="AG3">
        <v>220.91999999999996</v>
      </c>
      <c r="AH3">
        <v>0.27999999999999997</v>
      </c>
      <c r="AI3">
        <v>46</v>
      </c>
      <c r="AJ3">
        <v>286</v>
      </c>
      <c r="AK3">
        <v>160.12</v>
      </c>
      <c r="AL3">
        <v>60.52</v>
      </c>
      <c r="AM3">
        <v>67.59</v>
      </c>
      <c r="AN3">
        <v>60.82</v>
      </c>
      <c r="AO3">
        <v>10.409999999999998</v>
      </c>
      <c r="AP3">
        <v>375</v>
      </c>
      <c r="AQ3">
        <v>2</v>
      </c>
      <c r="AR3">
        <v>4</v>
      </c>
      <c r="AS3">
        <v>194.91999999999996</v>
      </c>
      <c r="AU3">
        <v>0.1</v>
      </c>
      <c r="AV3">
        <v>0.05</v>
      </c>
      <c r="AW3">
        <v>0.7</v>
      </c>
      <c r="AX3">
        <v>31.5</v>
      </c>
      <c r="AY3">
        <v>41</v>
      </c>
      <c r="AZ3">
        <v>0.65</v>
      </c>
      <c r="BA3">
        <v>0.98</v>
      </c>
      <c r="BB3">
        <v>0.96</v>
      </c>
      <c r="BC3">
        <v>0.94</v>
      </c>
      <c r="BD3">
        <v>0.2</v>
      </c>
      <c r="BE3">
        <v>0.1</v>
      </c>
      <c r="BF3">
        <v>0.05</v>
      </c>
      <c r="BG3">
        <v>0.05</v>
      </c>
      <c r="BH3">
        <v>140</v>
      </c>
      <c r="BI3">
        <v>0</v>
      </c>
      <c r="BJ3">
        <v>3110.409999999998</v>
      </c>
    </row>
    <row r="4" spans="1:62" x14ac:dyDescent="0.25">
      <c r="A4" t="s">
        <v>12</v>
      </c>
      <c r="B4">
        <v>210</v>
      </c>
      <c r="C4">
        <v>201.35000000000002</v>
      </c>
      <c r="D4">
        <v>140</v>
      </c>
      <c r="E4">
        <v>61.350000000000023</v>
      </c>
      <c r="F4">
        <v>0.958809523809524</v>
      </c>
      <c r="G4">
        <v>2861.95</v>
      </c>
      <c r="H4">
        <v>1650.9285</v>
      </c>
      <c r="I4">
        <v>0</v>
      </c>
      <c r="J4">
        <v>0</v>
      </c>
      <c r="K4">
        <v>347.14450000000005</v>
      </c>
      <c r="L4">
        <v>0.96543209876543201</v>
      </c>
      <c r="M4">
        <v>1.5345268542199499E-2</v>
      </c>
      <c r="N4">
        <v>694.28899999999999</v>
      </c>
      <c r="O4">
        <v>0</v>
      </c>
      <c r="P4">
        <v>0.86858703749689603</v>
      </c>
      <c r="Q4">
        <v>347.14449999999999</v>
      </c>
      <c r="R4">
        <v>98.89</v>
      </c>
      <c r="S4">
        <v>2.0499999999999998</v>
      </c>
      <c r="T4">
        <v>0</v>
      </c>
      <c r="U4">
        <v>6002.3964999999998</v>
      </c>
      <c r="V4">
        <v>201.35000000000002</v>
      </c>
      <c r="W4">
        <v>210</v>
      </c>
      <c r="X4">
        <v>347.14449999999999</v>
      </c>
      <c r="Y4">
        <v>14</v>
      </c>
      <c r="Z4">
        <v>201.35000000000002</v>
      </c>
      <c r="AA4">
        <v>0</v>
      </c>
      <c r="AB4">
        <v>694.28899999999999</v>
      </c>
      <c r="AC4">
        <v>0</v>
      </c>
      <c r="AD4" s="2">
        <v>45670</v>
      </c>
      <c r="AE4" t="s">
        <v>37</v>
      </c>
      <c r="AF4">
        <v>349</v>
      </c>
      <c r="AG4">
        <v>209.08</v>
      </c>
      <c r="AH4">
        <v>7.7299999999999995</v>
      </c>
      <c r="AI4">
        <v>58</v>
      </c>
      <c r="AJ4">
        <v>291</v>
      </c>
      <c r="AK4">
        <v>174.89000000000001</v>
      </c>
      <c r="AL4">
        <v>26.439999999999994</v>
      </c>
      <c r="AM4">
        <v>83.39</v>
      </c>
      <c r="AN4">
        <v>75.55</v>
      </c>
      <c r="AO4">
        <v>11.430000000000001</v>
      </c>
      <c r="AP4">
        <v>391</v>
      </c>
      <c r="AQ4">
        <v>0</v>
      </c>
      <c r="AR4">
        <v>6</v>
      </c>
      <c r="AS4">
        <v>80.19</v>
      </c>
      <c r="AU4">
        <v>0.1</v>
      </c>
      <c r="AV4">
        <v>0.05</v>
      </c>
      <c r="AW4">
        <v>0.7</v>
      </c>
      <c r="AX4">
        <v>31.45</v>
      </c>
      <c r="AY4">
        <v>41.4</v>
      </c>
      <c r="AZ4">
        <v>0.65</v>
      </c>
      <c r="BA4">
        <v>0.98</v>
      </c>
      <c r="BB4">
        <v>0.96</v>
      </c>
      <c r="BC4">
        <v>0.94</v>
      </c>
      <c r="BD4">
        <v>0.2</v>
      </c>
      <c r="BE4">
        <v>0.1</v>
      </c>
      <c r="BF4">
        <v>0.05</v>
      </c>
      <c r="BG4">
        <v>0.05</v>
      </c>
      <c r="BH4">
        <v>140</v>
      </c>
      <c r="BI4">
        <v>0</v>
      </c>
      <c r="BJ4">
        <v>3770.1899999999969</v>
      </c>
    </row>
    <row r="5" spans="1:62" x14ac:dyDescent="0.25">
      <c r="A5" t="s">
        <v>12</v>
      </c>
      <c r="B5">
        <v>50</v>
      </c>
      <c r="C5">
        <v>40.46</v>
      </c>
      <c r="D5">
        <v>40.46</v>
      </c>
      <c r="E5">
        <v>0</v>
      </c>
      <c r="F5">
        <v>0.80920000000000003</v>
      </c>
      <c r="G5">
        <v>0</v>
      </c>
      <c r="H5">
        <v>0</v>
      </c>
      <c r="I5">
        <v>0</v>
      </c>
      <c r="J5">
        <v>0</v>
      </c>
      <c r="K5">
        <v>0</v>
      </c>
      <c r="L5">
        <v>0.95327102803738295</v>
      </c>
      <c r="M5">
        <v>1.9607843137254902E-2</v>
      </c>
      <c r="N5">
        <v>0</v>
      </c>
      <c r="O5">
        <v>0</v>
      </c>
      <c r="P5">
        <v>0.90336134453781503</v>
      </c>
      <c r="Q5">
        <v>0</v>
      </c>
      <c r="R5">
        <v>67.069999999999993</v>
      </c>
      <c r="S5">
        <v>1.5</v>
      </c>
      <c r="T5">
        <v>839.33</v>
      </c>
      <c r="U5">
        <v>907.9</v>
      </c>
      <c r="V5">
        <v>40.46</v>
      </c>
      <c r="W5">
        <v>50</v>
      </c>
      <c r="X5">
        <v>0</v>
      </c>
      <c r="Y5">
        <v>0</v>
      </c>
      <c r="Z5">
        <v>40.46</v>
      </c>
      <c r="AA5">
        <v>0</v>
      </c>
      <c r="AB5">
        <v>0</v>
      </c>
      <c r="AC5">
        <v>0</v>
      </c>
      <c r="AD5" s="2">
        <v>45670</v>
      </c>
      <c r="AE5" t="s">
        <v>44</v>
      </c>
      <c r="AF5">
        <v>84</v>
      </c>
      <c r="AG5">
        <v>40.79</v>
      </c>
      <c r="AH5">
        <v>0.33</v>
      </c>
      <c r="AI5">
        <v>13</v>
      </c>
      <c r="AJ5">
        <v>71</v>
      </c>
      <c r="AK5">
        <v>36.549999999999997</v>
      </c>
      <c r="AL5">
        <v>3.91</v>
      </c>
      <c r="AM5">
        <v>14.73</v>
      </c>
      <c r="AN5">
        <v>14.27</v>
      </c>
      <c r="AO5">
        <v>2.06</v>
      </c>
      <c r="AP5">
        <v>102</v>
      </c>
      <c r="AQ5">
        <v>5</v>
      </c>
      <c r="AR5">
        <v>2</v>
      </c>
      <c r="AS5">
        <v>40.46</v>
      </c>
      <c r="AU5">
        <v>0.1</v>
      </c>
      <c r="AV5">
        <v>0.05</v>
      </c>
      <c r="AW5">
        <v>0.7</v>
      </c>
      <c r="AX5">
        <v>31.45</v>
      </c>
      <c r="AY5">
        <v>41.4</v>
      </c>
      <c r="AZ5">
        <v>0.65</v>
      </c>
      <c r="BA5">
        <v>0.98</v>
      </c>
      <c r="BB5">
        <v>0.96</v>
      </c>
      <c r="BC5">
        <v>0.94</v>
      </c>
      <c r="BD5">
        <v>0.2</v>
      </c>
      <c r="BE5">
        <v>0.1</v>
      </c>
      <c r="BF5">
        <v>0.05</v>
      </c>
      <c r="BG5">
        <v>0.05</v>
      </c>
      <c r="BH5">
        <v>70</v>
      </c>
      <c r="BI5">
        <v>0</v>
      </c>
      <c r="BJ5">
        <v>839.33</v>
      </c>
    </row>
    <row r="6" spans="1:62" x14ac:dyDescent="0.25">
      <c r="A6" t="s">
        <v>12</v>
      </c>
      <c r="B6">
        <v>101</v>
      </c>
      <c r="C6">
        <v>101.46000000000001</v>
      </c>
      <c r="D6">
        <v>70</v>
      </c>
      <c r="E6">
        <v>31</v>
      </c>
      <c r="F6">
        <v>1</v>
      </c>
      <c r="G6">
        <v>1430.9749999999999</v>
      </c>
      <c r="H6">
        <v>834.21</v>
      </c>
      <c r="I6">
        <v>696.98</v>
      </c>
      <c r="J6">
        <v>0</v>
      </c>
      <c r="K6">
        <v>0</v>
      </c>
      <c r="L6">
        <v>0.91346153846153799</v>
      </c>
      <c r="M6">
        <v>2.6315789473684199E-2</v>
      </c>
      <c r="N6">
        <v>0</v>
      </c>
      <c r="O6">
        <v>0</v>
      </c>
      <c r="P6">
        <v>0.79114922136802701</v>
      </c>
      <c r="Q6">
        <v>174.245</v>
      </c>
      <c r="R6">
        <v>102.74</v>
      </c>
      <c r="S6">
        <v>2.15</v>
      </c>
      <c r="T6">
        <v>0</v>
      </c>
      <c r="U6">
        <v>3241.3</v>
      </c>
      <c r="V6">
        <v>101</v>
      </c>
      <c r="W6">
        <v>100</v>
      </c>
      <c r="X6">
        <v>696.98</v>
      </c>
      <c r="Y6">
        <v>7</v>
      </c>
      <c r="Z6">
        <v>0</v>
      </c>
      <c r="AA6">
        <v>0</v>
      </c>
      <c r="AB6">
        <v>0</v>
      </c>
      <c r="AC6">
        <v>1</v>
      </c>
      <c r="AD6" s="2">
        <v>45670</v>
      </c>
      <c r="AE6" t="s">
        <v>65</v>
      </c>
      <c r="AF6">
        <v>165</v>
      </c>
      <c r="AG6">
        <v>102.72</v>
      </c>
      <c r="AH6">
        <v>1.26</v>
      </c>
      <c r="AI6">
        <v>29</v>
      </c>
      <c r="AJ6">
        <v>136</v>
      </c>
      <c r="AK6">
        <v>80.27</v>
      </c>
      <c r="AL6">
        <v>21.18</v>
      </c>
      <c r="AM6">
        <v>46.52</v>
      </c>
      <c r="AN6">
        <v>38.79</v>
      </c>
      <c r="AO6">
        <v>4.71</v>
      </c>
      <c r="AP6">
        <v>190</v>
      </c>
      <c r="AQ6">
        <v>11</v>
      </c>
      <c r="AR6">
        <v>5</v>
      </c>
      <c r="AS6">
        <v>38.660000000000004</v>
      </c>
      <c r="AU6">
        <v>0.1</v>
      </c>
      <c r="AV6">
        <v>0.05</v>
      </c>
      <c r="AW6">
        <v>0.7</v>
      </c>
      <c r="AX6">
        <v>31.45</v>
      </c>
      <c r="AY6">
        <v>41.4</v>
      </c>
      <c r="AZ6">
        <v>0.65</v>
      </c>
      <c r="BA6">
        <v>0.98</v>
      </c>
      <c r="BB6">
        <v>0.96</v>
      </c>
      <c r="BC6">
        <v>0.94</v>
      </c>
      <c r="BD6">
        <v>0.2</v>
      </c>
      <c r="BE6">
        <v>0.1</v>
      </c>
      <c r="BF6">
        <v>0.05</v>
      </c>
      <c r="BG6">
        <v>0.05</v>
      </c>
      <c r="BH6">
        <v>70</v>
      </c>
      <c r="BI6">
        <v>101</v>
      </c>
      <c r="BJ6">
        <v>1728.0199999999979</v>
      </c>
    </row>
    <row r="7" spans="1:62" x14ac:dyDescent="0.25">
      <c r="A7" t="s">
        <v>13</v>
      </c>
      <c r="B7">
        <v>50</v>
      </c>
      <c r="C7">
        <v>50.01</v>
      </c>
      <c r="D7">
        <v>50</v>
      </c>
      <c r="E7">
        <v>0</v>
      </c>
      <c r="F7">
        <v>1</v>
      </c>
      <c r="G7">
        <v>1022.125</v>
      </c>
      <c r="H7">
        <v>0</v>
      </c>
      <c r="I7">
        <v>314.5</v>
      </c>
      <c r="J7">
        <v>0</v>
      </c>
      <c r="K7">
        <v>0</v>
      </c>
      <c r="L7">
        <v>0.99224806201550397</v>
      </c>
      <c r="M7">
        <v>3.90625E-2</v>
      </c>
      <c r="N7">
        <v>157.25</v>
      </c>
      <c r="O7">
        <v>0</v>
      </c>
      <c r="P7">
        <v>0.96600679864027195</v>
      </c>
      <c r="Q7">
        <v>78.625</v>
      </c>
      <c r="R7">
        <v>68.06</v>
      </c>
      <c r="S7">
        <v>0</v>
      </c>
      <c r="T7">
        <v>0</v>
      </c>
      <c r="U7">
        <v>1640.56</v>
      </c>
      <c r="V7">
        <v>50</v>
      </c>
      <c r="W7">
        <v>50</v>
      </c>
      <c r="X7">
        <v>314.5</v>
      </c>
      <c r="Y7">
        <v>0</v>
      </c>
      <c r="Z7">
        <v>50</v>
      </c>
      <c r="AA7">
        <v>0</v>
      </c>
      <c r="AB7">
        <v>157.25</v>
      </c>
      <c r="AC7">
        <v>0</v>
      </c>
      <c r="AD7" s="2">
        <v>45677</v>
      </c>
      <c r="AE7" t="s">
        <v>34</v>
      </c>
      <c r="AF7">
        <v>107</v>
      </c>
      <c r="AG7">
        <v>50.01</v>
      </c>
      <c r="AH7">
        <v>0</v>
      </c>
      <c r="AI7">
        <v>8</v>
      </c>
      <c r="AJ7">
        <v>99</v>
      </c>
      <c r="AK7">
        <v>48.31</v>
      </c>
      <c r="AL7">
        <v>1.69</v>
      </c>
      <c r="AM7">
        <v>10.45</v>
      </c>
      <c r="AN7">
        <v>10.210000000000001</v>
      </c>
      <c r="AO7">
        <v>2.14</v>
      </c>
      <c r="AP7">
        <v>128</v>
      </c>
      <c r="AQ7">
        <v>1</v>
      </c>
      <c r="AR7">
        <v>5</v>
      </c>
      <c r="AS7">
        <v>50.01</v>
      </c>
      <c r="AU7">
        <v>0.1</v>
      </c>
      <c r="AV7">
        <v>0.05</v>
      </c>
      <c r="AW7">
        <v>0.7</v>
      </c>
      <c r="AX7">
        <v>31.45</v>
      </c>
      <c r="AY7">
        <v>41.4</v>
      </c>
      <c r="AZ7">
        <v>0.65</v>
      </c>
      <c r="BA7">
        <v>0.98</v>
      </c>
      <c r="BB7">
        <v>0.96</v>
      </c>
      <c r="BC7">
        <v>0.94</v>
      </c>
      <c r="BD7">
        <v>0.2</v>
      </c>
      <c r="BE7">
        <v>0.1</v>
      </c>
      <c r="BF7">
        <v>0.05</v>
      </c>
      <c r="BG7">
        <v>0.05</v>
      </c>
      <c r="BH7">
        <v>70</v>
      </c>
      <c r="BI7">
        <v>0</v>
      </c>
      <c r="BJ7">
        <v>1030.8699999999999</v>
      </c>
    </row>
    <row r="8" spans="1:62" x14ac:dyDescent="0.25">
      <c r="A8" t="s">
        <v>13</v>
      </c>
      <c r="B8">
        <v>220</v>
      </c>
      <c r="C8">
        <v>220.75</v>
      </c>
      <c r="D8">
        <v>140</v>
      </c>
      <c r="E8">
        <v>80</v>
      </c>
      <c r="F8">
        <v>1</v>
      </c>
      <c r="G8">
        <v>2866.5</v>
      </c>
      <c r="H8">
        <v>2132</v>
      </c>
      <c r="I8">
        <v>1538.0000000000002</v>
      </c>
      <c r="J8">
        <v>0</v>
      </c>
      <c r="K8">
        <v>0</v>
      </c>
      <c r="L8">
        <v>0.99556541019955602</v>
      </c>
      <c r="M8">
        <v>1.1135857461024501E-2</v>
      </c>
      <c r="N8">
        <v>769</v>
      </c>
      <c r="O8">
        <v>0</v>
      </c>
      <c r="P8">
        <v>0.73775764439411096</v>
      </c>
      <c r="Q8">
        <v>384.5</v>
      </c>
      <c r="R8">
        <v>225.62</v>
      </c>
      <c r="S8">
        <v>0</v>
      </c>
      <c r="T8">
        <v>0</v>
      </c>
      <c r="U8">
        <v>7915.62</v>
      </c>
      <c r="V8">
        <v>220</v>
      </c>
      <c r="W8">
        <v>220</v>
      </c>
      <c r="X8">
        <v>1538</v>
      </c>
      <c r="Y8">
        <v>1</v>
      </c>
      <c r="Z8">
        <v>220</v>
      </c>
      <c r="AA8">
        <v>0</v>
      </c>
      <c r="AB8">
        <v>769</v>
      </c>
      <c r="AC8">
        <v>0</v>
      </c>
      <c r="AD8" s="2">
        <v>45677</v>
      </c>
      <c r="AE8" t="s">
        <v>48</v>
      </c>
      <c r="AF8">
        <v>395</v>
      </c>
      <c r="AG8">
        <v>220.98</v>
      </c>
      <c r="AH8">
        <v>0.23</v>
      </c>
      <c r="AI8">
        <v>58</v>
      </c>
      <c r="AJ8">
        <v>337</v>
      </c>
      <c r="AK8">
        <v>162.86000000000001</v>
      </c>
      <c r="AL8">
        <v>57.89</v>
      </c>
      <c r="AM8">
        <v>67.569999999999993</v>
      </c>
      <c r="AN8">
        <v>52.03</v>
      </c>
      <c r="AO8">
        <v>10.590000000000002</v>
      </c>
      <c r="AP8">
        <v>449</v>
      </c>
      <c r="AQ8">
        <v>1</v>
      </c>
      <c r="AR8">
        <v>5</v>
      </c>
      <c r="AS8">
        <v>174.75</v>
      </c>
      <c r="AU8">
        <v>0.1</v>
      </c>
      <c r="AV8">
        <v>0.05</v>
      </c>
      <c r="AW8">
        <v>0.7</v>
      </c>
      <c r="AX8">
        <v>31.5</v>
      </c>
      <c r="AY8">
        <v>41</v>
      </c>
      <c r="AZ8">
        <v>0.65</v>
      </c>
      <c r="BA8">
        <v>0.98</v>
      </c>
      <c r="BB8">
        <v>0.96</v>
      </c>
      <c r="BC8">
        <v>0.94</v>
      </c>
      <c r="BD8">
        <v>0.2</v>
      </c>
      <c r="BE8">
        <v>0.1</v>
      </c>
      <c r="BF8">
        <v>0.05</v>
      </c>
      <c r="BG8">
        <v>0.05</v>
      </c>
      <c r="BH8">
        <v>140</v>
      </c>
      <c r="BI8">
        <v>0</v>
      </c>
      <c r="BJ8">
        <v>3506.2199999999975</v>
      </c>
    </row>
    <row r="9" spans="1:62" x14ac:dyDescent="0.25">
      <c r="A9" t="s">
        <v>13</v>
      </c>
      <c r="B9">
        <v>210</v>
      </c>
      <c r="C9">
        <v>203.66000000000003</v>
      </c>
      <c r="D9">
        <v>140</v>
      </c>
      <c r="E9">
        <v>63.660000000000025</v>
      </c>
      <c r="F9">
        <v>0.96980952380952401</v>
      </c>
      <c r="G9">
        <v>2861.95</v>
      </c>
      <c r="H9">
        <v>1713.0906</v>
      </c>
      <c r="I9">
        <v>0</v>
      </c>
      <c r="J9">
        <v>703.8524000000001</v>
      </c>
      <c r="K9">
        <v>0</v>
      </c>
      <c r="L9">
        <v>0.98210290827740498</v>
      </c>
      <c r="M9">
        <v>1.5945330296127599E-2</v>
      </c>
      <c r="N9">
        <v>703.85239999999999</v>
      </c>
      <c r="O9">
        <v>0</v>
      </c>
      <c r="P9">
        <v>0.885397230678582</v>
      </c>
      <c r="Q9">
        <v>351.92619999999999</v>
      </c>
      <c r="R9">
        <v>146.08000000000001</v>
      </c>
      <c r="S9">
        <v>0</v>
      </c>
      <c r="T9">
        <v>0</v>
      </c>
      <c r="U9">
        <v>6480.7515999999996</v>
      </c>
      <c r="V9">
        <v>203.66000000000003</v>
      </c>
      <c r="W9">
        <v>210</v>
      </c>
      <c r="X9">
        <v>703.85239999999999</v>
      </c>
      <c r="Y9">
        <v>7</v>
      </c>
      <c r="Z9">
        <v>203.66000000000003</v>
      </c>
      <c r="AA9">
        <v>0</v>
      </c>
      <c r="AB9">
        <v>703.85239999999999</v>
      </c>
      <c r="AC9">
        <v>0</v>
      </c>
      <c r="AD9" s="2">
        <v>45677</v>
      </c>
      <c r="AE9" t="s">
        <v>37</v>
      </c>
      <c r="AF9">
        <v>398</v>
      </c>
      <c r="AG9">
        <v>210.48000000000002</v>
      </c>
      <c r="AH9">
        <v>6.8199999999999994</v>
      </c>
      <c r="AI9">
        <v>46</v>
      </c>
      <c r="AJ9">
        <v>352</v>
      </c>
      <c r="AK9">
        <v>180.32</v>
      </c>
      <c r="AL9">
        <v>23.34</v>
      </c>
      <c r="AM9">
        <v>82.88</v>
      </c>
      <c r="AN9">
        <v>73.649999999999991</v>
      </c>
      <c r="AO9">
        <v>13.02</v>
      </c>
      <c r="AP9">
        <v>439</v>
      </c>
      <c r="AQ9">
        <v>1</v>
      </c>
      <c r="AR9">
        <v>7</v>
      </c>
      <c r="AS9">
        <v>183.42000000000002</v>
      </c>
      <c r="AU9">
        <v>0.1</v>
      </c>
      <c r="AV9">
        <v>0.05</v>
      </c>
      <c r="AW9">
        <v>0.7</v>
      </c>
      <c r="AX9">
        <v>31.45</v>
      </c>
      <c r="AY9">
        <v>41.4</v>
      </c>
      <c r="AZ9">
        <v>0.65</v>
      </c>
      <c r="BA9">
        <v>0.98</v>
      </c>
      <c r="BB9">
        <v>0.96</v>
      </c>
      <c r="BC9">
        <v>0.94</v>
      </c>
      <c r="BD9">
        <v>0.2</v>
      </c>
      <c r="BE9">
        <v>0.1</v>
      </c>
      <c r="BF9">
        <v>0.05</v>
      </c>
      <c r="BG9">
        <v>0.05</v>
      </c>
      <c r="BH9">
        <v>140</v>
      </c>
      <c r="BI9">
        <v>0</v>
      </c>
      <c r="BJ9">
        <v>4134.7899999999972</v>
      </c>
    </row>
    <row r="10" spans="1:62" x14ac:dyDescent="0.25">
      <c r="A10" t="s">
        <v>13</v>
      </c>
      <c r="B10">
        <v>50</v>
      </c>
      <c r="C10">
        <v>12.93</v>
      </c>
      <c r="D10">
        <v>12.93</v>
      </c>
      <c r="E10">
        <v>0</v>
      </c>
      <c r="F10">
        <v>0.2586</v>
      </c>
      <c r="G10">
        <v>0</v>
      </c>
      <c r="H10">
        <v>0</v>
      </c>
      <c r="I10">
        <v>0</v>
      </c>
      <c r="J10">
        <v>0</v>
      </c>
      <c r="K10">
        <v>0</v>
      </c>
      <c r="L10">
        <v>0.96875</v>
      </c>
      <c r="M10">
        <v>3.2258064516128997E-2</v>
      </c>
      <c r="N10">
        <v>0</v>
      </c>
      <c r="O10">
        <v>0</v>
      </c>
      <c r="P10">
        <v>0.99226604795050299</v>
      </c>
      <c r="Q10">
        <v>0</v>
      </c>
      <c r="R10">
        <v>36.81</v>
      </c>
      <c r="S10">
        <v>0</v>
      </c>
      <c r="T10">
        <v>265.58</v>
      </c>
      <c r="U10">
        <v>302.39</v>
      </c>
      <c r="V10">
        <v>12.93</v>
      </c>
      <c r="W10">
        <v>50</v>
      </c>
      <c r="X10">
        <v>0</v>
      </c>
      <c r="Y10">
        <v>0</v>
      </c>
      <c r="Z10">
        <v>12.93</v>
      </c>
      <c r="AA10">
        <v>0</v>
      </c>
      <c r="AB10">
        <v>0</v>
      </c>
      <c r="AC10">
        <v>0</v>
      </c>
      <c r="AD10" s="2">
        <v>45677</v>
      </c>
      <c r="AE10" t="s">
        <v>44</v>
      </c>
      <c r="AF10">
        <v>30</v>
      </c>
      <c r="AG10">
        <v>12.93</v>
      </c>
      <c r="AH10">
        <v>0</v>
      </c>
      <c r="AI10">
        <v>6</v>
      </c>
      <c r="AJ10">
        <v>24</v>
      </c>
      <c r="AK10">
        <v>12.83</v>
      </c>
      <c r="AL10">
        <v>0.09</v>
      </c>
      <c r="AM10">
        <v>9.43</v>
      </c>
      <c r="AN10">
        <v>9.3800000000000008</v>
      </c>
      <c r="AO10">
        <v>2.3199999999999998</v>
      </c>
      <c r="AP10">
        <v>31</v>
      </c>
      <c r="AQ10">
        <v>1</v>
      </c>
      <c r="AR10">
        <v>1</v>
      </c>
      <c r="AS10">
        <v>12.93</v>
      </c>
      <c r="AU10">
        <v>0.1</v>
      </c>
      <c r="AV10">
        <v>0.05</v>
      </c>
      <c r="AW10">
        <v>0.7</v>
      </c>
      <c r="AX10">
        <v>31.45</v>
      </c>
      <c r="AY10">
        <v>41.4</v>
      </c>
      <c r="AZ10">
        <v>0.65</v>
      </c>
      <c r="BA10">
        <v>0.98</v>
      </c>
      <c r="BB10">
        <v>0.96</v>
      </c>
      <c r="BC10">
        <v>0.94</v>
      </c>
      <c r="BD10">
        <v>0.2</v>
      </c>
      <c r="BE10">
        <v>0.1</v>
      </c>
      <c r="BF10">
        <v>0.05</v>
      </c>
      <c r="BG10">
        <v>0.05</v>
      </c>
      <c r="BH10">
        <v>70</v>
      </c>
      <c r="BI10">
        <v>0</v>
      </c>
      <c r="BJ10">
        <v>265.58</v>
      </c>
    </row>
    <row r="11" spans="1:62" x14ac:dyDescent="0.25">
      <c r="A11" t="s">
        <v>13</v>
      </c>
      <c r="B11">
        <v>106</v>
      </c>
      <c r="C11">
        <v>106.31</v>
      </c>
      <c r="D11">
        <v>70</v>
      </c>
      <c r="E11">
        <v>36</v>
      </c>
      <c r="F11">
        <v>1</v>
      </c>
      <c r="G11">
        <v>1430.9749999999999</v>
      </c>
      <c r="H11">
        <v>968.76</v>
      </c>
      <c r="I11">
        <v>738.38</v>
      </c>
      <c r="J11">
        <v>0</v>
      </c>
      <c r="K11">
        <v>0</v>
      </c>
      <c r="L11">
        <v>0.95360824742268002</v>
      </c>
      <c r="M11">
        <v>5.40540540540541E-3</v>
      </c>
      <c r="N11">
        <v>369.19</v>
      </c>
      <c r="O11">
        <v>0</v>
      </c>
      <c r="P11">
        <v>0.73182202991251999</v>
      </c>
      <c r="Q11">
        <v>184.595</v>
      </c>
      <c r="R11">
        <v>77.3</v>
      </c>
      <c r="S11">
        <v>0</v>
      </c>
      <c r="T11">
        <v>0</v>
      </c>
      <c r="U11">
        <v>3769.2</v>
      </c>
      <c r="V11">
        <v>106</v>
      </c>
      <c r="W11">
        <v>100</v>
      </c>
      <c r="X11">
        <v>738.38</v>
      </c>
      <c r="Y11">
        <v>8</v>
      </c>
      <c r="Z11">
        <v>106</v>
      </c>
      <c r="AA11">
        <v>0</v>
      </c>
      <c r="AB11">
        <v>369.19</v>
      </c>
      <c r="AC11">
        <v>6</v>
      </c>
      <c r="AD11" s="2">
        <v>45677</v>
      </c>
      <c r="AE11" t="s">
        <v>65</v>
      </c>
      <c r="AF11">
        <v>169</v>
      </c>
      <c r="AG11">
        <v>107</v>
      </c>
      <c r="AH11">
        <v>0.69</v>
      </c>
      <c r="AI11">
        <v>23</v>
      </c>
      <c r="AJ11">
        <v>146</v>
      </c>
      <c r="AK11">
        <v>77.800000000000011</v>
      </c>
      <c r="AL11">
        <v>28.490000000000002</v>
      </c>
      <c r="AM11">
        <v>50.94</v>
      </c>
      <c r="AN11">
        <v>35.94</v>
      </c>
      <c r="AO11">
        <v>4.71</v>
      </c>
      <c r="AP11">
        <v>185</v>
      </c>
      <c r="AQ11">
        <v>1</v>
      </c>
      <c r="AR11">
        <v>1</v>
      </c>
      <c r="AS11">
        <v>81.88</v>
      </c>
      <c r="AU11">
        <v>0.1</v>
      </c>
      <c r="AV11">
        <v>0.05</v>
      </c>
      <c r="AW11">
        <v>0.7</v>
      </c>
      <c r="AX11">
        <v>31.45</v>
      </c>
      <c r="AY11">
        <v>41.4</v>
      </c>
      <c r="AZ11">
        <v>0.65</v>
      </c>
      <c r="BA11">
        <v>0.98</v>
      </c>
      <c r="BB11">
        <v>0.96</v>
      </c>
      <c r="BC11">
        <v>0.94</v>
      </c>
      <c r="BD11">
        <v>0.2</v>
      </c>
      <c r="BE11">
        <v>0.1</v>
      </c>
      <c r="BF11">
        <v>0.05</v>
      </c>
      <c r="BG11">
        <v>0.05</v>
      </c>
      <c r="BH11">
        <v>70</v>
      </c>
      <c r="BI11">
        <v>0</v>
      </c>
      <c r="BJ11">
        <v>1695.109999999999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D59"/>
  <sheetViews>
    <sheetView workbookViewId="0">
      <selection activeCell="C67" sqref="C67"/>
    </sheetView>
  </sheetViews>
  <sheetFormatPr defaultRowHeight="15" x14ac:dyDescent="0.25"/>
  <cols>
    <col min="1" max="1" width="29.7109375" bestFit="1" customWidth="1"/>
    <col min="2" max="2" width="23.140625" bestFit="1" customWidth="1"/>
    <col min="3" max="3" width="45.7109375" bestFit="1" customWidth="1"/>
    <col min="4" max="4" width="45.28515625" bestFit="1" customWidth="1"/>
    <col min="5" max="5" width="45.7109375" bestFit="1" customWidth="1"/>
    <col min="6" max="6" width="45.28515625" bestFit="1" customWidth="1"/>
  </cols>
  <sheetData>
    <row r="1" spans="1:4" x14ac:dyDescent="0.25">
      <c r="A1" t="s">
        <v>166</v>
      </c>
      <c r="B1" t="s">
        <v>225</v>
      </c>
      <c r="C1" t="s">
        <v>226</v>
      </c>
      <c r="D1" t="s">
        <v>227</v>
      </c>
    </row>
    <row r="2" spans="1:4" hidden="1" x14ac:dyDescent="0.25">
      <c r="A2" t="s">
        <v>34</v>
      </c>
      <c r="B2" t="s">
        <v>171</v>
      </c>
    </row>
    <row r="3" spans="1:4" hidden="1" x14ac:dyDescent="0.25">
      <c r="A3" t="s">
        <v>34</v>
      </c>
      <c r="B3" t="s">
        <v>228</v>
      </c>
    </row>
    <row r="4" spans="1:4" hidden="1" x14ac:dyDescent="0.25">
      <c r="A4" t="s">
        <v>37</v>
      </c>
      <c r="B4" t="s">
        <v>174</v>
      </c>
    </row>
    <row r="5" spans="1:4" hidden="1" x14ac:dyDescent="0.25">
      <c r="A5" t="s">
        <v>37</v>
      </c>
      <c r="B5" t="s">
        <v>173</v>
      </c>
    </row>
    <row r="6" spans="1:4" hidden="1" x14ac:dyDescent="0.25">
      <c r="A6" t="s">
        <v>37</v>
      </c>
      <c r="B6" t="s">
        <v>177</v>
      </c>
    </row>
    <row r="7" spans="1:4" hidden="1" x14ac:dyDescent="0.25">
      <c r="A7" t="s">
        <v>37</v>
      </c>
      <c r="B7" t="s">
        <v>181</v>
      </c>
    </row>
    <row r="8" spans="1:4" hidden="1" x14ac:dyDescent="0.25">
      <c r="A8" t="s">
        <v>37</v>
      </c>
      <c r="B8" t="s">
        <v>184</v>
      </c>
    </row>
    <row r="9" spans="1:4" hidden="1" x14ac:dyDescent="0.25">
      <c r="A9" t="s">
        <v>37</v>
      </c>
      <c r="B9" t="s">
        <v>229</v>
      </c>
    </row>
    <row r="10" spans="1:4" hidden="1" x14ac:dyDescent="0.25">
      <c r="A10" t="s">
        <v>37</v>
      </c>
      <c r="B10" t="s">
        <v>185</v>
      </c>
    </row>
    <row r="11" spans="1:4" hidden="1" x14ac:dyDescent="0.25">
      <c r="A11" t="s">
        <v>37</v>
      </c>
      <c r="B11" t="s">
        <v>230</v>
      </c>
    </row>
    <row r="12" spans="1:4" hidden="1" x14ac:dyDescent="0.25">
      <c r="A12" t="s">
        <v>37</v>
      </c>
      <c r="B12" t="s">
        <v>231</v>
      </c>
    </row>
    <row r="13" spans="1:4" hidden="1" x14ac:dyDescent="0.25">
      <c r="A13" t="s">
        <v>37</v>
      </c>
      <c r="B13" t="s">
        <v>232</v>
      </c>
    </row>
    <row r="14" spans="1:4" hidden="1" x14ac:dyDescent="0.25">
      <c r="A14" t="s">
        <v>37</v>
      </c>
      <c r="B14" t="s">
        <v>170</v>
      </c>
    </row>
    <row r="15" spans="1:4" hidden="1" x14ac:dyDescent="0.25">
      <c r="A15" t="s">
        <v>37</v>
      </c>
      <c r="B15" t="s">
        <v>233</v>
      </c>
    </row>
    <row r="16" spans="1:4" hidden="1" x14ac:dyDescent="0.25">
      <c r="A16" t="s">
        <v>37</v>
      </c>
      <c r="B16" t="s">
        <v>234</v>
      </c>
    </row>
    <row r="17" spans="1:2" hidden="1" x14ac:dyDescent="0.25">
      <c r="A17" t="s">
        <v>37</v>
      </c>
      <c r="B17" t="s">
        <v>235</v>
      </c>
    </row>
    <row r="18" spans="1:2" hidden="1" x14ac:dyDescent="0.25">
      <c r="A18" t="s">
        <v>37</v>
      </c>
      <c r="B18" t="s">
        <v>236</v>
      </c>
    </row>
    <row r="19" spans="1:2" hidden="1" x14ac:dyDescent="0.25">
      <c r="A19" t="s">
        <v>48</v>
      </c>
      <c r="B19" t="s">
        <v>237</v>
      </c>
    </row>
    <row r="20" spans="1:2" hidden="1" x14ac:dyDescent="0.25">
      <c r="A20" t="s">
        <v>48</v>
      </c>
      <c r="B20" t="s">
        <v>238</v>
      </c>
    </row>
    <row r="21" spans="1:2" hidden="1" x14ac:dyDescent="0.25">
      <c r="A21" t="s">
        <v>48</v>
      </c>
      <c r="B21" t="s">
        <v>239</v>
      </c>
    </row>
    <row r="22" spans="1:2" hidden="1" x14ac:dyDescent="0.25">
      <c r="A22" t="s">
        <v>48</v>
      </c>
      <c r="B22" t="s">
        <v>240</v>
      </c>
    </row>
    <row r="23" spans="1:2" hidden="1" x14ac:dyDescent="0.25">
      <c r="A23" t="s">
        <v>48</v>
      </c>
      <c r="B23" t="s">
        <v>186</v>
      </c>
    </row>
    <row r="24" spans="1:2" hidden="1" x14ac:dyDescent="0.25">
      <c r="A24" t="s">
        <v>48</v>
      </c>
      <c r="B24" t="s">
        <v>241</v>
      </c>
    </row>
    <row r="25" spans="1:2" hidden="1" x14ac:dyDescent="0.25">
      <c r="A25" t="s">
        <v>48</v>
      </c>
      <c r="B25" t="s">
        <v>180</v>
      </c>
    </row>
    <row r="26" spans="1:2" hidden="1" x14ac:dyDescent="0.25">
      <c r="A26" t="s">
        <v>48</v>
      </c>
      <c r="B26" t="s">
        <v>169</v>
      </c>
    </row>
    <row r="27" spans="1:2" hidden="1" x14ac:dyDescent="0.25">
      <c r="A27" t="s">
        <v>48</v>
      </c>
      <c r="B27" t="s">
        <v>242</v>
      </c>
    </row>
    <row r="28" spans="1:2" hidden="1" x14ac:dyDescent="0.25">
      <c r="A28" t="s">
        <v>48</v>
      </c>
      <c r="B28" t="s">
        <v>175</v>
      </c>
    </row>
    <row r="29" spans="1:2" hidden="1" x14ac:dyDescent="0.25">
      <c r="A29" t="s">
        <v>48</v>
      </c>
      <c r="B29" t="s">
        <v>178</v>
      </c>
    </row>
    <row r="30" spans="1:2" hidden="1" x14ac:dyDescent="0.25">
      <c r="A30" t="s">
        <v>48</v>
      </c>
      <c r="B30" t="s">
        <v>172</v>
      </c>
    </row>
    <row r="31" spans="1:2" hidden="1" x14ac:dyDescent="0.25">
      <c r="A31" t="s">
        <v>48</v>
      </c>
      <c r="B31" t="s">
        <v>243</v>
      </c>
    </row>
    <row r="32" spans="1:2" hidden="1" x14ac:dyDescent="0.25">
      <c r="A32" t="s">
        <v>48</v>
      </c>
      <c r="B32" t="s">
        <v>244</v>
      </c>
    </row>
    <row r="33" spans="1:2" hidden="1" x14ac:dyDescent="0.25">
      <c r="A33" t="s">
        <v>48</v>
      </c>
      <c r="B33" t="s">
        <v>245</v>
      </c>
    </row>
    <row r="34" spans="1:2" hidden="1" x14ac:dyDescent="0.25">
      <c r="A34" t="s">
        <v>48</v>
      </c>
      <c r="B34" t="s">
        <v>246</v>
      </c>
    </row>
    <row r="35" spans="1:2" hidden="1" x14ac:dyDescent="0.25">
      <c r="A35" t="s">
        <v>48</v>
      </c>
      <c r="B35" t="s">
        <v>247</v>
      </c>
    </row>
    <row r="36" spans="1:2" hidden="1" x14ac:dyDescent="0.25">
      <c r="A36" t="s">
        <v>48</v>
      </c>
      <c r="B36" t="s">
        <v>248</v>
      </c>
    </row>
    <row r="37" spans="1:2" hidden="1" x14ac:dyDescent="0.25">
      <c r="A37" t="s">
        <v>48</v>
      </c>
      <c r="B37" t="s">
        <v>249</v>
      </c>
    </row>
    <row r="38" spans="1:2" hidden="1" x14ac:dyDescent="0.25">
      <c r="A38" t="s">
        <v>48</v>
      </c>
      <c r="B38" t="s">
        <v>250</v>
      </c>
    </row>
    <row r="39" spans="1:2" hidden="1" x14ac:dyDescent="0.25">
      <c r="A39" t="s">
        <v>48</v>
      </c>
      <c r="B39" t="s">
        <v>251</v>
      </c>
    </row>
    <row r="40" spans="1:2" hidden="1" x14ac:dyDescent="0.25">
      <c r="A40" t="s">
        <v>48</v>
      </c>
      <c r="B40" t="s">
        <v>252</v>
      </c>
    </row>
    <row r="41" spans="1:2" hidden="1" x14ac:dyDescent="0.25">
      <c r="A41" t="s">
        <v>37</v>
      </c>
      <c r="B41" t="s">
        <v>168</v>
      </c>
    </row>
    <row r="42" spans="1:2" hidden="1" x14ac:dyDescent="0.25">
      <c r="A42" t="s">
        <v>65</v>
      </c>
      <c r="B42" t="s">
        <v>176</v>
      </c>
    </row>
    <row r="43" spans="1:2" hidden="1" x14ac:dyDescent="0.25">
      <c r="A43" t="s">
        <v>65</v>
      </c>
      <c r="B43" t="s">
        <v>253</v>
      </c>
    </row>
    <row r="44" spans="1:2" hidden="1" x14ac:dyDescent="0.25">
      <c r="A44" t="s">
        <v>65</v>
      </c>
      <c r="B44" t="s">
        <v>254</v>
      </c>
    </row>
    <row r="45" spans="1:2" hidden="1" x14ac:dyDescent="0.25">
      <c r="A45" t="s">
        <v>65</v>
      </c>
      <c r="B45" t="s">
        <v>255</v>
      </c>
    </row>
    <row r="46" spans="1:2" hidden="1" x14ac:dyDescent="0.25">
      <c r="A46" t="s">
        <v>65</v>
      </c>
      <c r="B46" t="s">
        <v>256</v>
      </c>
    </row>
    <row r="47" spans="1:2" hidden="1" x14ac:dyDescent="0.25">
      <c r="A47" t="s">
        <v>65</v>
      </c>
      <c r="B47" t="s">
        <v>183</v>
      </c>
    </row>
    <row r="48" spans="1:2" hidden="1" x14ac:dyDescent="0.25">
      <c r="A48" t="s">
        <v>65</v>
      </c>
      <c r="B48" t="s">
        <v>257</v>
      </c>
    </row>
    <row r="49" spans="1:2" hidden="1" x14ac:dyDescent="0.25">
      <c r="A49" t="s">
        <v>65</v>
      </c>
      <c r="B49" t="s">
        <v>258</v>
      </c>
    </row>
    <row r="50" spans="1:2" hidden="1" x14ac:dyDescent="0.25">
      <c r="A50" t="s">
        <v>65</v>
      </c>
      <c r="B50" t="s">
        <v>259</v>
      </c>
    </row>
    <row r="51" spans="1:2" hidden="1" x14ac:dyDescent="0.25">
      <c r="A51" t="s">
        <v>34</v>
      </c>
      <c r="B51" t="s">
        <v>260</v>
      </c>
    </row>
    <row r="52" spans="1:2" hidden="1" x14ac:dyDescent="0.25">
      <c r="A52" t="s">
        <v>44</v>
      </c>
      <c r="B52" t="s">
        <v>261</v>
      </c>
    </row>
    <row r="53" spans="1:2" hidden="1" x14ac:dyDescent="0.25">
      <c r="A53" t="s">
        <v>37</v>
      </c>
      <c r="B53" t="s">
        <v>262</v>
      </c>
    </row>
    <row r="54" spans="1:2" hidden="1" x14ac:dyDescent="0.25">
      <c r="A54" t="s">
        <v>37</v>
      </c>
      <c r="B54" t="s">
        <v>263</v>
      </c>
    </row>
    <row r="55" spans="1:2" hidden="1" x14ac:dyDescent="0.25">
      <c r="A55" t="s">
        <v>44</v>
      </c>
      <c r="B55" t="s">
        <v>187</v>
      </c>
    </row>
    <row r="56" spans="1:2" hidden="1" x14ac:dyDescent="0.25">
      <c r="A56" t="s">
        <v>48</v>
      </c>
      <c r="B56" t="s">
        <v>167</v>
      </c>
    </row>
    <row r="57" spans="1:2" hidden="1" x14ac:dyDescent="0.25">
      <c r="A57" t="s">
        <v>44</v>
      </c>
      <c r="B57" t="s">
        <v>179</v>
      </c>
    </row>
    <row r="58" spans="1:2" hidden="1" x14ac:dyDescent="0.25">
      <c r="A58" t="s">
        <v>37</v>
      </c>
      <c r="B58" t="s">
        <v>182</v>
      </c>
    </row>
    <row r="59" spans="1:2" hidden="1" x14ac:dyDescent="0.25">
      <c r="A59" t="s">
        <v>65</v>
      </c>
      <c r="B59" t="s">
        <v>323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U39"/>
  <sheetViews>
    <sheetView showGridLines="0" workbookViewId="0">
      <selection activeCell="H22" sqref="H22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2" width="8.85546875" style="6"/>
    <col min="23" max="23" width="19.7109375" style="6" customWidth="1"/>
    <col min="24" max="24" width="9.570312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16.85546875" style="4" customWidth="1"/>
    <col min="30" max="30" width="12.42578125" style="8" customWidth="1"/>
    <col min="31" max="32" width="8.85546875" style="8"/>
    <col min="33" max="33" width="16.5703125" style="8" bestFit="1" customWidth="1"/>
    <col min="34" max="34" width="45.140625" style="6" customWidth="1"/>
    <col min="35" max="36" width="8.85546875" style="6"/>
    <col min="37" max="37" width="13.7109375" style="8" customWidth="1"/>
    <col min="38" max="38" width="27.42578125" style="3" customWidth="1"/>
    <col min="39" max="39" width="13.7109375" style="8" customWidth="1"/>
    <col min="40" max="40" width="8.85546875" style="6"/>
    <col min="41" max="41" width="16.28515625" style="6" customWidth="1"/>
    <col min="42" max="42" width="9.5703125" style="49" bestFit="1" customWidth="1"/>
    <col min="43" max="46" width="8.85546875" style="6"/>
    <col min="47" max="47" width="8.85546875" style="64"/>
    <col min="48" max="16384" width="8.85546875" style="6"/>
  </cols>
  <sheetData>
    <row r="1" spans="2:47" ht="9" customHeight="1" thickBot="1" x14ac:dyDescent="0.3">
      <c r="V1" s="8"/>
      <c r="W1" s="8"/>
      <c r="X1" s="8"/>
      <c r="AA1" s="6"/>
      <c r="AB1" s="6"/>
      <c r="AC1" s="6"/>
      <c r="AD1" s="6"/>
      <c r="AE1" s="6"/>
      <c r="AF1" s="6"/>
      <c r="AG1" s="6"/>
      <c r="AL1" s="6"/>
      <c r="AM1" s="6"/>
      <c r="AO1" s="8"/>
      <c r="AP1" s="3"/>
      <c r="AQ1" s="8"/>
      <c r="AU1" s="6"/>
    </row>
    <row r="2" spans="2:47" ht="21" customHeight="1" thickBot="1" x14ac:dyDescent="0.3">
      <c r="B2" s="120" t="s">
        <v>44</v>
      </c>
      <c r="C2" s="120"/>
      <c r="D2" s="120"/>
      <c r="E2" s="120"/>
      <c r="F2" s="120"/>
      <c r="H2" s="28" t="s">
        <v>104</v>
      </c>
      <c r="I2" s="29">
        <v>1083.23</v>
      </c>
      <c r="M2" s="8"/>
      <c r="V2" s="8"/>
      <c r="W2" s="95"/>
      <c r="X2" s="95" t="s">
        <v>105</v>
      </c>
      <c r="AA2" s="130" t="s">
        <v>106</v>
      </c>
      <c r="AB2" s="130"/>
      <c r="AC2" s="6"/>
      <c r="AD2" s="134" t="s">
        <v>108</v>
      </c>
      <c r="AE2" s="134"/>
      <c r="AF2" s="6"/>
      <c r="AG2" s="134"/>
      <c r="AH2" s="134"/>
      <c r="AK2" s="64"/>
      <c r="AL2" s="62" t="s">
        <v>107</v>
      </c>
      <c r="AM2" s="6"/>
      <c r="AO2" s="130" t="s">
        <v>108</v>
      </c>
      <c r="AP2" s="130"/>
      <c r="AQ2" s="8"/>
      <c r="AS2" s="9"/>
      <c r="AT2" s="9"/>
      <c r="AU2" s="9"/>
    </row>
    <row r="3" spans="2:47" ht="15.75" x14ac:dyDescent="0.25">
      <c r="F3" s="68"/>
      <c r="G3" s="69"/>
      <c r="V3" s="8"/>
      <c r="W3" s="13"/>
      <c r="X3" s="22" t="s">
        <v>109</v>
      </c>
      <c r="Y3" s="94">
        <v>0</v>
      </c>
      <c r="AA3" s="9" t="s">
        <v>84</v>
      </c>
      <c r="AB3" s="10">
        <v>0</v>
      </c>
      <c r="AC3" s="6"/>
      <c r="AD3" s="13" t="s">
        <v>24</v>
      </c>
      <c r="AE3" s="22">
        <v>0</v>
      </c>
      <c r="AF3" s="6"/>
      <c r="AG3" s="13"/>
      <c r="AH3" s="22"/>
      <c r="AL3" s="63" t="e">
        <f>SUMIF(#REF!,$B$2,#REF!)</f>
        <v>#REF!</v>
      </c>
      <c r="AM3" s="6"/>
      <c r="AO3" s="9" t="s">
        <v>24</v>
      </c>
      <c r="AP3" s="10">
        <f>SUMIF(Deduction_and_other_Revenue[PARTNER],$B$2,Deduction_and_other_Revenue[Tolls])</f>
        <v>0</v>
      </c>
      <c r="AQ3" s="8"/>
      <c r="AU3" s="6"/>
    </row>
    <row r="4" spans="2:47" ht="20.45" customHeight="1" x14ac:dyDescent="0.25">
      <c r="G4" s="6"/>
      <c r="H4" s="67"/>
      <c r="J4" s="124" t="s">
        <v>111</v>
      </c>
      <c r="K4" s="125"/>
      <c r="L4" s="126"/>
      <c r="M4" s="121" t="s">
        <v>112</v>
      </c>
      <c r="N4" s="122"/>
      <c r="O4" s="122"/>
      <c r="P4" s="123"/>
      <c r="W4" s="14"/>
      <c r="X4" s="22" t="s">
        <v>113</v>
      </c>
      <c r="Y4" s="94">
        <v>0</v>
      </c>
      <c r="AA4" s="9" t="s">
        <v>17</v>
      </c>
      <c r="AB4" s="10">
        <v>618</v>
      </c>
      <c r="AC4" s="6"/>
      <c r="AD4" s="6" t="s">
        <v>25</v>
      </c>
      <c r="AE4" s="94">
        <v>0</v>
      </c>
      <c r="AF4" s="6"/>
      <c r="AG4" s="14"/>
      <c r="AH4" s="22"/>
      <c r="AL4" s="6"/>
      <c r="AM4" s="6"/>
      <c r="AO4" s="9" t="s">
        <v>25</v>
      </c>
      <c r="AP4" s="10">
        <f>SUMIF(Deduction_and_other_Revenue[PARTNER],$B$2,Deduction_and_other_Revenue[Camera Tickets])</f>
        <v>0</v>
      </c>
      <c r="AQ4" s="8"/>
      <c r="AU4" s="6"/>
    </row>
    <row r="5" spans="2:47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8" t="s">
        <v>131</v>
      </c>
      <c r="W5" s="14"/>
      <c r="X5" s="23" t="s">
        <v>83</v>
      </c>
      <c r="Y5" s="94">
        <v>0</v>
      </c>
      <c r="AA5" s="9" t="s">
        <v>27</v>
      </c>
      <c r="AB5" s="10">
        <v>0</v>
      </c>
      <c r="AC5" s="6"/>
      <c r="AD5" s="6" t="s">
        <v>26</v>
      </c>
      <c r="AE5" s="75">
        <v>0</v>
      </c>
      <c r="AF5" s="6"/>
      <c r="AG5" s="51"/>
      <c r="AH5" s="52"/>
      <c r="AL5" s="6"/>
      <c r="AM5" s="6"/>
      <c r="AO5" s="9" t="s">
        <v>26</v>
      </c>
      <c r="AP5" s="10">
        <f>SUMIF(Deduction_and_other_Revenue[PARTNER],$B$2,Deduction_and_other_Revenue[Parking Tickets])</f>
        <v>0</v>
      </c>
      <c r="AQ5" s="8"/>
      <c r="AU5" s="6"/>
    </row>
    <row r="6" spans="2:47" x14ac:dyDescent="0.25">
      <c r="B6" s="7" t="s">
        <v>12</v>
      </c>
      <c r="C6" s="69">
        <v>60</v>
      </c>
      <c r="D6" s="4">
        <v>25.8</v>
      </c>
      <c r="E6" s="4">
        <v>25.8</v>
      </c>
      <c r="F6" s="4">
        <v>0</v>
      </c>
      <c r="G6" s="67">
        <v>0.43</v>
      </c>
      <c r="H6" s="74">
        <v>0</v>
      </c>
      <c r="I6" s="8">
        <v>0</v>
      </c>
      <c r="J6" s="8">
        <v>0</v>
      </c>
      <c r="K6" s="8">
        <v>0</v>
      </c>
      <c r="L6" s="74">
        <v>0</v>
      </c>
      <c r="M6" s="87">
        <v>1</v>
      </c>
      <c r="N6" s="87">
        <v>1.4084507042253501E-2</v>
      </c>
      <c r="O6" s="8">
        <v>0</v>
      </c>
      <c r="P6" s="74">
        <v>0</v>
      </c>
      <c r="Q6" s="87">
        <v>0.95736434108527102</v>
      </c>
      <c r="R6" s="8">
        <v>0</v>
      </c>
      <c r="S6" s="8">
        <v>34.21</v>
      </c>
      <c r="T6" s="8">
        <v>0</v>
      </c>
      <c r="U6" s="8">
        <v>611.37</v>
      </c>
      <c r="V6" s="8">
        <v>645.58000000000004</v>
      </c>
      <c r="W6" s="51"/>
      <c r="X6" s="52" t="s">
        <v>132</v>
      </c>
      <c r="Y6" s="94">
        <v>0</v>
      </c>
      <c r="AA6" s="11" t="s">
        <v>30</v>
      </c>
      <c r="AB6" s="12">
        <v>0</v>
      </c>
      <c r="AC6" s="6"/>
      <c r="AD6" s="6" t="s">
        <v>133</v>
      </c>
      <c r="AE6" s="94">
        <v>0</v>
      </c>
      <c r="AF6" s="6"/>
      <c r="AG6" s="6"/>
      <c r="AL6" s="6"/>
      <c r="AM6" s="6"/>
      <c r="AO6" s="11" t="s">
        <v>133</v>
      </c>
      <c r="AP6" s="12">
        <f>SUMIF(Deduction_and_other_Revenue[PARTNER],$B$2,Deduction_and_other_Revenue[Violation])</f>
        <v>75</v>
      </c>
      <c r="AQ6" s="8"/>
      <c r="AU6" s="6"/>
    </row>
    <row r="7" spans="2:47" ht="15.75" thickBot="1" x14ac:dyDescent="0.3">
      <c r="B7" s="7" t="s">
        <v>13</v>
      </c>
      <c r="C7" s="69">
        <v>60</v>
      </c>
      <c r="D7" s="4">
        <v>50.050000000000004</v>
      </c>
      <c r="E7" s="4">
        <v>50.050000000000004</v>
      </c>
      <c r="F7" s="4">
        <v>0</v>
      </c>
      <c r="G7" s="67">
        <v>0.83416666666666694</v>
      </c>
      <c r="H7" s="74">
        <v>0</v>
      </c>
      <c r="I7" s="8">
        <v>0</v>
      </c>
      <c r="J7" s="8">
        <v>0</v>
      </c>
      <c r="K7" s="8">
        <v>0</v>
      </c>
      <c r="L7" s="74">
        <v>0</v>
      </c>
      <c r="M7" s="87">
        <v>0.98936170212765995</v>
      </c>
      <c r="N7" s="87">
        <v>1.0752688172042999E-2</v>
      </c>
      <c r="O7" s="8">
        <v>0</v>
      </c>
      <c r="P7" s="74">
        <v>0</v>
      </c>
      <c r="Q7" s="87">
        <v>0.87672327672327699</v>
      </c>
      <c r="R7" s="8">
        <v>0</v>
      </c>
      <c r="S7" s="8">
        <v>52</v>
      </c>
      <c r="T7" s="8">
        <v>0</v>
      </c>
      <c r="U7" s="8">
        <v>1003.65</v>
      </c>
      <c r="V7" s="8">
        <v>1055.6500000000001</v>
      </c>
      <c r="W7" s="8"/>
      <c r="X7" s="8"/>
      <c r="Y7" s="15"/>
      <c r="AA7" s="9" t="s">
        <v>106</v>
      </c>
      <c r="AB7" s="10">
        <v>618</v>
      </c>
      <c r="AC7" s="6"/>
      <c r="AD7" s="6" t="s">
        <v>30</v>
      </c>
      <c r="AE7" s="94">
        <v>0</v>
      </c>
      <c r="AF7" s="6"/>
      <c r="AG7" s="6"/>
      <c r="AL7" s="6"/>
      <c r="AM7" s="6"/>
      <c r="AO7" s="9" t="s">
        <v>30</v>
      </c>
      <c r="AP7" s="10">
        <f>SUM(AP3:AP6)</f>
        <v>75</v>
      </c>
      <c r="AQ7" s="8"/>
      <c r="AU7" s="6"/>
    </row>
    <row r="8" spans="2:47" x14ac:dyDescent="0.25">
      <c r="B8" s="25" t="s">
        <v>134</v>
      </c>
      <c r="C8" s="76">
        <v>120</v>
      </c>
      <c r="D8" s="26">
        <v>75.850000000000009</v>
      </c>
      <c r="E8" s="26">
        <v>75.850000000000009</v>
      </c>
      <c r="F8" s="26">
        <v>0</v>
      </c>
      <c r="G8" s="76"/>
      <c r="H8" s="86">
        <v>0</v>
      </c>
      <c r="I8" s="27">
        <v>0</v>
      </c>
      <c r="J8" s="27">
        <v>0</v>
      </c>
      <c r="K8" s="27">
        <v>0</v>
      </c>
      <c r="L8" s="27">
        <v>0</v>
      </c>
      <c r="M8" s="26"/>
      <c r="N8" s="88"/>
      <c r="O8" s="27">
        <v>0</v>
      </c>
      <c r="P8" s="27">
        <v>0</v>
      </c>
      <c r="Q8" s="88"/>
      <c r="R8" s="27">
        <v>0</v>
      </c>
      <c r="S8" s="27">
        <v>86.21</v>
      </c>
      <c r="T8" s="27">
        <v>0</v>
      </c>
      <c r="U8" s="27">
        <v>1615.02</v>
      </c>
      <c r="V8" s="8">
        <v>1701.23</v>
      </c>
      <c r="X8" s="6"/>
      <c r="AA8" s="6"/>
      <c r="AB8" s="6"/>
      <c r="AC8" s="6"/>
      <c r="AD8" s="6"/>
      <c r="AE8" s="6"/>
      <c r="AF8" s="6"/>
      <c r="AG8" s="6"/>
      <c r="AL8" s="6"/>
      <c r="AM8" s="6"/>
      <c r="AO8" s="8"/>
      <c r="AP8" s="3"/>
      <c r="AQ8" s="8"/>
      <c r="AU8" s="6"/>
    </row>
    <row r="9" spans="2:47" ht="22.9" customHeight="1" thickBot="1" x14ac:dyDescent="0.3">
      <c r="F9" s="68"/>
      <c r="G9" s="69"/>
      <c r="V9" s="8"/>
      <c r="W9" s="8"/>
      <c r="X9" s="8"/>
      <c r="AA9" s="6"/>
      <c r="AB9" s="6"/>
      <c r="AC9" s="6"/>
      <c r="AD9" s="6"/>
      <c r="AE9" s="6"/>
      <c r="AF9" s="6"/>
      <c r="AG9" s="6"/>
      <c r="AL9" s="6"/>
      <c r="AM9" s="6"/>
      <c r="AO9" s="8"/>
      <c r="AP9" s="3"/>
      <c r="AQ9" s="8"/>
      <c r="AU9" s="6"/>
    </row>
    <row r="10" spans="2:47" ht="21.75" thickBot="1" x14ac:dyDescent="0.3">
      <c r="B10" s="127" t="s">
        <v>135</v>
      </c>
      <c r="C10" s="128"/>
      <c r="D10" s="128"/>
      <c r="E10" s="128"/>
      <c r="F10" s="128"/>
      <c r="G10" s="128"/>
      <c r="H10" s="128"/>
      <c r="I10" s="128"/>
      <c r="J10" s="128"/>
      <c r="K10" s="128"/>
      <c r="L10" s="129"/>
      <c r="M10" s="6"/>
      <c r="N10" s="6"/>
      <c r="O10" s="6"/>
      <c r="P10" s="6"/>
      <c r="Q10" s="6"/>
      <c r="R10" s="6"/>
      <c r="S10" s="6"/>
      <c r="T10" s="6"/>
      <c r="U10" s="6"/>
      <c r="W10" s="131"/>
      <c r="X10" s="132"/>
      <c r="Y10" s="132"/>
      <c r="Z10" s="132"/>
      <c r="AA10" s="132"/>
      <c r="AB10" s="132"/>
      <c r="AC10" s="132"/>
      <c r="AD10" s="132"/>
      <c r="AE10" s="132"/>
      <c r="AF10" s="132"/>
      <c r="AG10" s="132"/>
      <c r="AH10" s="132"/>
      <c r="AI10" s="133"/>
      <c r="AK10" s="131"/>
      <c r="AL10" s="132"/>
      <c r="AM10" s="132"/>
      <c r="AP10" s="131" t="s">
        <v>137</v>
      </c>
      <c r="AQ10" s="132"/>
      <c r="AR10" s="132"/>
      <c r="AS10" s="132"/>
      <c r="AT10" s="132"/>
      <c r="AU10" s="133"/>
    </row>
    <row r="11" spans="2:47" ht="45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78" t="s">
        <v>145</v>
      </c>
      <c r="M11" s="6" t="s">
        <v>24</v>
      </c>
      <c r="N11" s="6"/>
      <c r="O11" s="6"/>
      <c r="P11" s="6"/>
      <c r="Q11" s="6"/>
      <c r="R11" s="6"/>
      <c r="S11" s="6"/>
      <c r="T11" s="6"/>
      <c r="U11" s="6"/>
      <c r="W11" s="16"/>
      <c r="X11" s="17" t="s">
        <v>16</v>
      </c>
      <c r="Y11" s="18" t="s">
        <v>146</v>
      </c>
      <c r="Z11" s="18" t="s">
        <v>18</v>
      </c>
      <c r="AA11" s="18"/>
      <c r="AB11" s="19"/>
      <c r="AC11" s="19"/>
      <c r="AD11" s="19"/>
      <c r="AE11" s="20"/>
      <c r="AF11" s="65"/>
      <c r="AG11" s="65"/>
      <c r="AH11" s="20"/>
      <c r="AI11" s="20"/>
      <c r="AK11" s="21"/>
      <c r="AL11" s="50" t="s">
        <v>146</v>
      </c>
      <c r="AM11" s="21" t="s">
        <v>18</v>
      </c>
      <c r="AP11" s="85" t="s">
        <v>100</v>
      </c>
      <c r="AQ11" s="21" t="s">
        <v>147</v>
      </c>
      <c r="AR11" s="50" t="s">
        <v>148</v>
      </c>
      <c r="AS11" s="21" t="s">
        <v>101</v>
      </c>
      <c r="AT11" s="21" t="s">
        <v>102</v>
      </c>
      <c r="AU11" s="21" t="s">
        <v>103</v>
      </c>
    </row>
    <row r="12" spans="2:47" x14ac:dyDescent="0.25">
      <c r="B12" s="7">
        <v>45663</v>
      </c>
      <c r="C12" s="6" t="s">
        <v>359</v>
      </c>
      <c r="D12" s="6" t="s">
        <v>360</v>
      </c>
      <c r="E12" s="6">
        <v>90</v>
      </c>
      <c r="F12" s="66">
        <v>0.98936170212765961</v>
      </c>
      <c r="G12" s="67">
        <v>1.0752688172043012E-2</v>
      </c>
      <c r="H12" s="5">
        <v>50.06</v>
      </c>
      <c r="I12" s="5">
        <v>0.01</v>
      </c>
      <c r="J12" s="4">
        <v>50.050000000000004</v>
      </c>
      <c r="K12" s="4">
        <v>1003.65</v>
      </c>
      <c r="L12" s="3">
        <v>52</v>
      </c>
      <c r="M12" s="3">
        <v>0</v>
      </c>
      <c r="X12" s="94">
        <v>309</v>
      </c>
      <c r="Y12" s="6">
        <v>2</v>
      </c>
      <c r="Z12" s="94">
        <v>618</v>
      </c>
      <c r="AP12" s="49" t="e" cm="1">
        <f t="array" ref="AP12">_xlfn._xlws.FILTER(#REF!,#REF!=$B$2,"No Data")</f>
        <v>#REF!</v>
      </c>
    </row>
    <row r="13" spans="2:47" x14ac:dyDescent="0.25">
      <c r="B13" s="7">
        <v>45656</v>
      </c>
      <c r="C13" s="6" t="s">
        <v>359</v>
      </c>
      <c r="D13" s="6" t="s">
        <v>360</v>
      </c>
      <c r="E13" s="6">
        <v>69</v>
      </c>
      <c r="F13" s="66">
        <v>1</v>
      </c>
      <c r="G13" s="67">
        <v>1.4084507042253521E-2</v>
      </c>
      <c r="H13" s="5">
        <v>25.8</v>
      </c>
      <c r="I13" s="5">
        <v>0</v>
      </c>
      <c r="J13" s="4">
        <v>25.8</v>
      </c>
      <c r="K13" s="4">
        <v>611.37</v>
      </c>
      <c r="L13" s="3">
        <v>34.21</v>
      </c>
      <c r="M13" s="3">
        <v>0</v>
      </c>
    </row>
    <row r="33" spans="5:12" x14ac:dyDescent="0.25">
      <c r="E33" s="90"/>
    </row>
    <row r="39" spans="5:12" x14ac:dyDescent="0.25">
      <c r="L39" s="4"/>
    </row>
  </sheetData>
  <mergeCells count="11">
    <mergeCell ref="AP10:AU10"/>
    <mergeCell ref="B2:F2"/>
    <mergeCell ref="AA2:AB2"/>
    <mergeCell ref="AD2:AE2"/>
    <mergeCell ref="AG2:AH2"/>
    <mergeCell ref="AO2:AP2"/>
    <mergeCell ref="B10:L10"/>
    <mergeCell ref="J4:L4"/>
    <mergeCell ref="M4:P4"/>
    <mergeCell ref="W10:AI10"/>
    <mergeCell ref="AK10:AM1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6"/>
  <sheetViews>
    <sheetView workbookViewId="0">
      <selection activeCell="C10" sqref="C10"/>
    </sheetView>
  </sheetViews>
  <sheetFormatPr defaultRowHeight="15" x14ac:dyDescent="0.25"/>
  <cols>
    <col min="1" max="1" width="29.7109375" bestFit="1" customWidth="1"/>
    <col min="2" max="2" width="8.140625" bestFit="1" customWidth="1"/>
    <col min="3" max="3" width="31.140625" bestFit="1" customWidth="1"/>
    <col min="4" max="4" width="16.28515625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166</v>
      </c>
      <c r="B1" t="s">
        <v>264</v>
      </c>
      <c r="C1" t="s">
        <v>265</v>
      </c>
      <c r="D1" t="s">
        <v>266</v>
      </c>
      <c r="E1" t="s">
        <v>29</v>
      </c>
    </row>
    <row r="2" spans="1:5" x14ac:dyDescent="0.25">
      <c r="A2" t="s">
        <v>48</v>
      </c>
      <c r="B2">
        <v>2338</v>
      </c>
      <c r="C2" t="s">
        <v>267</v>
      </c>
      <c r="D2" t="s">
        <v>268</v>
      </c>
      <c r="E2">
        <v>2</v>
      </c>
    </row>
    <row r="3" spans="1:5" x14ac:dyDescent="0.25">
      <c r="A3" t="s">
        <v>65</v>
      </c>
      <c r="B3">
        <v>2302</v>
      </c>
      <c r="C3" t="s">
        <v>269</v>
      </c>
      <c r="D3" t="s">
        <v>268</v>
      </c>
      <c r="E3">
        <v>2</v>
      </c>
    </row>
    <row r="4" spans="1:5" x14ac:dyDescent="0.25">
      <c r="A4" t="s">
        <v>37</v>
      </c>
      <c r="B4">
        <v>2313</v>
      </c>
      <c r="C4" t="s">
        <v>270</v>
      </c>
      <c r="D4" t="s">
        <v>268</v>
      </c>
      <c r="E4">
        <v>2</v>
      </c>
    </row>
    <row r="5" spans="1:5" x14ac:dyDescent="0.25">
      <c r="A5" t="s">
        <v>44</v>
      </c>
      <c r="B5">
        <v>2555</v>
      </c>
      <c r="C5" t="s">
        <v>369</v>
      </c>
      <c r="D5" t="s">
        <v>268</v>
      </c>
      <c r="E5">
        <v>2</v>
      </c>
    </row>
    <row r="6" spans="1:5" x14ac:dyDescent="0.25">
      <c r="A6" t="s">
        <v>34</v>
      </c>
      <c r="B6">
        <v>2298</v>
      </c>
      <c r="C6" t="s">
        <v>271</v>
      </c>
      <c r="D6" t="s">
        <v>272</v>
      </c>
      <c r="E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G59"/>
  <sheetViews>
    <sheetView workbookViewId="0"/>
  </sheetViews>
  <sheetFormatPr defaultRowHeight="15" x14ac:dyDescent="0.25"/>
  <cols>
    <col min="1" max="1" width="29.7109375" bestFit="1" customWidth="1"/>
    <col min="2" max="2" width="23.140625" bestFit="1" customWidth="1"/>
    <col min="3" max="3" width="16.28515625" bestFit="1" customWidth="1"/>
    <col min="4" max="4" width="15.140625" bestFit="1" customWidth="1"/>
    <col min="5" max="5" width="31.140625" bestFit="1" customWidth="1"/>
    <col min="6" max="6" width="8.140625" bestFit="1" customWidth="1"/>
    <col min="7" max="7" width="20.28515625" bestFit="1" customWidth="1"/>
    <col min="8" max="8" width="7.7109375" bestFit="1" customWidth="1"/>
    <col min="9" max="9" width="12.42578125" bestFit="1" customWidth="1"/>
    <col min="10" max="11" width="18.140625" bestFit="1" customWidth="1"/>
  </cols>
  <sheetData>
    <row r="1" spans="1:7" x14ac:dyDescent="0.25">
      <c r="A1" t="s">
        <v>166</v>
      </c>
      <c r="B1" t="s">
        <v>225</v>
      </c>
      <c r="C1" t="s">
        <v>266</v>
      </c>
      <c r="D1" t="s">
        <v>273</v>
      </c>
      <c r="E1" t="s">
        <v>265</v>
      </c>
      <c r="F1" t="s">
        <v>264</v>
      </c>
      <c r="G1" t="s">
        <v>274</v>
      </c>
    </row>
    <row r="2" spans="1:7" x14ac:dyDescent="0.25">
      <c r="A2" t="s">
        <v>34</v>
      </c>
      <c r="B2" t="s">
        <v>171</v>
      </c>
      <c r="C2" t="s">
        <v>272</v>
      </c>
      <c r="D2" t="s">
        <v>275</v>
      </c>
      <c r="E2" t="s">
        <v>271</v>
      </c>
      <c r="F2">
        <v>2298</v>
      </c>
      <c r="G2" t="s">
        <v>272</v>
      </c>
    </row>
    <row r="3" spans="1:7" x14ac:dyDescent="0.25">
      <c r="A3" t="s">
        <v>34</v>
      </c>
      <c r="B3" t="s">
        <v>228</v>
      </c>
      <c r="C3" t="s">
        <v>272</v>
      </c>
      <c r="D3" t="s">
        <v>275</v>
      </c>
      <c r="E3" t="s">
        <v>271</v>
      </c>
      <c r="F3">
        <v>2298</v>
      </c>
      <c r="G3" t="s">
        <v>272</v>
      </c>
    </row>
    <row r="4" spans="1:7" x14ac:dyDescent="0.25">
      <c r="A4" t="s">
        <v>37</v>
      </c>
      <c r="B4" t="s">
        <v>174</v>
      </c>
      <c r="C4" t="s">
        <v>268</v>
      </c>
      <c r="D4" t="s">
        <v>275</v>
      </c>
      <c r="E4" t="s">
        <v>270</v>
      </c>
      <c r="F4">
        <v>2313</v>
      </c>
      <c r="G4" t="s">
        <v>268</v>
      </c>
    </row>
    <row r="5" spans="1:7" x14ac:dyDescent="0.25">
      <c r="A5" t="s">
        <v>37</v>
      </c>
      <c r="B5" t="s">
        <v>173</v>
      </c>
      <c r="C5" t="s">
        <v>268</v>
      </c>
      <c r="D5" t="s">
        <v>275</v>
      </c>
      <c r="E5" t="s">
        <v>270</v>
      </c>
      <c r="F5">
        <v>2313</v>
      </c>
      <c r="G5" t="s">
        <v>268</v>
      </c>
    </row>
    <row r="6" spans="1:7" x14ac:dyDescent="0.25">
      <c r="A6" t="s">
        <v>37</v>
      </c>
      <c r="B6" t="s">
        <v>177</v>
      </c>
      <c r="C6" t="s">
        <v>268</v>
      </c>
      <c r="D6" t="s">
        <v>275</v>
      </c>
      <c r="E6" t="s">
        <v>270</v>
      </c>
      <c r="F6">
        <v>2313</v>
      </c>
      <c r="G6" t="s">
        <v>268</v>
      </c>
    </row>
    <row r="7" spans="1:7" x14ac:dyDescent="0.25">
      <c r="A7" t="s">
        <v>37</v>
      </c>
      <c r="B7" t="s">
        <v>181</v>
      </c>
      <c r="C7" t="s">
        <v>110</v>
      </c>
      <c r="D7" t="s">
        <v>276</v>
      </c>
      <c r="E7" t="s">
        <v>270</v>
      </c>
      <c r="F7">
        <v>2313</v>
      </c>
      <c r="G7" t="s">
        <v>110</v>
      </c>
    </row>
    <row r="8" spans="1:7" x14ac:dyDescent="0.25">
      <c r="A8" t="s">
        <v>37</v>
      </c>
      <c r="B8" t="s">
        <v>184</v>
      </c>
      <c r="C8" t="s">
        <v>268</v>
      </c>
      <c r="D8" t="s">
        <v>275</v>
      </c>
      <c r="E8" t="s">
        <v>270</v>
      </c>
      <c r="F8">
        <v>2313</v>
      </c>
      <c r="G8" t="s">
        <v>268</v>
      </c>
    </row>
    <row r="9" spans="1:7" x14ac:dyDescent="0.25">
      <c r="A9" t="s">
        <v>37</v>
      </c>
      <c r="B9" t="s">
        <v>229</v>
      </c>
      <c r="C9" t="s">
        <v>272</v>
      </c>
      <c r="D9" t="s">
        <v>275</v>
      </c>
      <c r="E9" t="s">
        <v>270</v>
      </c>
      <c r="F9">
        <v>2313</v>
      </c>
      <c r="G9" t="s">
        <v>272</v>
      </c>
    </row>
    <row r="10" spans="1:7" x14ac:dyDescent="0.25">
      <c r="A10" t="s">
        <v>37</v>
      </c>
      <c r="B10" t="s">
        <v>185</v>
      </c>
      <c r="C10" t="s">
        <v>272</v>
      </c>
      <c r="D10" t="s">
        <v>275</v>
      </c>
      <c r="E10" t="s">
        <v>270</v>
      </c>
      <c r="F10">
        <v>2313</v>
      </c>
      <c r="G10" t="s">
        <v>272</v>
      </c>
    </row>
    <row r="11" spans="1:7" x14ac:dyDescent="0.25">
      <c r="A11" t="s">
        <v>37</v>
      </c>
      <c r="B11" t="s">
        <v>230</v>
      </c>
      <c r="C11" t="s">
        <v>272</v>
      </c>
      <c r="D11" t="s">
        <v>275</v>
      </c>
      <c r="E11" t="s">
        <v>270</v>
      </c>
      <c r="F11">
        <v>2313</v>
      </c>
      <c r="G11" t="s">
        <v>272</v>
      </c>
    </row>
    <row r="12" spans="1:7" x14ac:dyDescent="0.25">
      <c r="A12" t="s">
        <v>37</v>
      </c>
      <c r="B12" t="s">
        <v>231</v>
      </c>
      <c r="C12" t="s">
        <v>272</v>
      </c>
      <c r="D12" t="s">
        <v>275</v>
      </c>
      <c r="E12" t="s">
        <v>270</v>
      </c>
      <c r="F12">
        <v>2313</v>
      </c>
      <c r="G12" t="s">
        <v>272</v>
      </c>
    </row>
    <row r="13" spans="1:7" x14ac:dyDescent="0.25">
      <c r="A13" t="s">
        <v>37</v>
      </c>
      <c r="B13" t="s">
        <v>232</v>
      </c>
      <c r="C13" t="s">
        <v>272</v>
      </c>
      <c r="D13" t="s">
        <v>275</v>
      </c>
      <c r="E13" t="s">
        <v>270</v>
      </c>
      <c r="F13">
        <v>2313</v>
      </c>
      <c r="G13" t="s">
        <v>272</v>
      </c>
    </row>
    <row r="14" spans="1:7" x14ac:dyDescent="0.25">
      <c r="A14" t="s">
        <v>37</v>
      </c>
      <c r="B14" t="s">
        <v>170</v>
      </c>
      <c r="C14" t="s">
        <v>272</v>
      </c>
      <c r="D14" t="s">
        <v>275</v>
      </c>
      <c r="E14" t="s">
        <v>270</v>
      </c>
      <c r="F14">
        <v>2313</v>
      </c>
      <c r="G14" t="s">
        <v>272</v>
      </c>
    </row>
    <row r="15" spans="1:7" x14ac:dyDescent="0.25">
      <c r="A15" t="s">
        <v>37</v>
      </c>
      <c r="B15" t="s">
        <v>233</v>
      </c>
      <c r="C15" t="s">
        <v>110</v>
      </c>
      <c r="D15" t="s">
        <v>277</v>
      </c>
      <c r="E15" t="s">
        <v>270</v>
      </c>
      <c r="F15">
        <v>2313</v>
      </c>
      <c r="G15" t="s">
        <v>110</v>
      </c>
    </row>
    <row r="16" spans="1:7" x14ac:dyDescent="0.25">
      <c r="A16" t="s">
        <v>37</v>
      </c>
      <c r="B16" t="s">
        <v>234</v>
      </c>
      <c r="C16" t="s">
        <v>272</v>
      </c>
      <c r="D16" t="s">
        <v>275</v>
      </c>
      <c r="E16" t="s">
        <v>270</v>
      </c>
      <c r="F16">
        <v>2313</v>
      </c>
      <c r="G16" t="s">
        <v>272</v>
      </c>
    </row>
    <row r="17" spans="1:7" x14ac:dyDescent="0.25">
      <c r="A17" t="s">
        <v>37</v>
      </c>
      <c r="B17" t="s">
        <v>235</v>
      </c>
      <c r="C17" t="s">
        <v>268</v>
      </c>
      <c r="D17" t="s">
        <v>275</v>
      </c>
      <c r="E17" t="s">
        <v>270</v>
      </c>
      <c r="F17">
        <v>2313</v>
      </c>
      <c r="G17" t="s">
        <v>268</v>
      </c>
    </row>
    <row r="18" spans="1:7" x14ac:dyDescent="0.25">
      <c r="A18" t="s">
        <v>37</v>
      </c>
      <c r="B18" t="s">
        <v>236</v>
      </c>
      <c r="C18" t="s">
        <v>268</v>
      </c>
      <c r="D18" t="s">
        <v>275</v>
      </c>
      <c r="E18" t="s">
        <v>270</v>
      </c>
      <c r="F18">
        <v>2313</v>
      </c>
      <c r="G18" t="s">
        <v>268</v>
      </c>
    </row>
    <row r="19" spans="1:7" x14ac:dyDescent="0.25">
      <c r="A19" t="s">
        <v>48</v>
      </c>
      <c r="B19" t="s">
        <v>237</v>
      </c>
      <c r="C19" t="s">
        <v>110</v>
      </c>
      <c r="D19" t="s">
        <v>277</v>
      </c>
      <c r="E19" t="s">
        <v>267</v>
      </c>
      <c r="F19">
        <v>2338</v>
      </c>
      <c r="G19" t="s">
        <v>110</v>
      </c>
    </row>
    <row r="20" spans="1:7" x14ac:dyDescent="0.25">
      <c r="A20" t="s">
        <v>48</v>
      </c>
      <c r="B20" t="s">
        <v>238</v>
      </c>
      <c r="C20" t="s">
        <v>272</v>
      </c>
      <c r="D20" t="s">
        <v>275</v>
      </c>
      <c r="E20" t="s">
        <v>267</v>
      </c>
      <c r="F20">
        <v>2338</v>
      </c>
      <c r="G20" t="s">
        <v>272</v>
      </c>
    </row>
    <row r="21" spans="1:7" x14ac:dyDescent="0.25">
      <c r="A21" t="s">
        <v>48</v>
      </c>
      <c r="B21" t="s">
        <v>239</v>
      </c>
      <c r="C21" t="s">
        <v>272</v>
      </c>
      <c r="D21" t="s">
        <v>275</v>
      </c>
      <c r="E21" t="s">
        <v>267</v>
      </c>
      <c r="F21">
        <v>2338</v>
      </c>
      <c r="G21" t="s">
        <v>272</v>
      </c>
    </row>
    <row r="22" spans="1:7" x14ac:dyDescent="0.25">
      <c r="A22" t="s">
        <v>48</v>
      </c>
      <c r="B22" t="s">
        <v>240</v>
      </c>
      <c r="C22" t="s">
        <v>268</v>
      </c>
      <c r="D22" t="s">
        <v>275</v>
      </c>
      <c r="E22" t="s">
        <v>267</v>
      </c>
      <c r="F22">
        <v>2338</v>
      </c>
      <c r="G22" t="s">
        <v>268</v>
      </c>
    </row>
    <row r="23" spans="1:7" x14ac:dyDescent="0.25">
      <c r="A23" t="s">
        <v>48</v>
      </c>
      <c r="B23" t="s">
        <v>186</v>
      </c>
      <c r="C23" t="s">
        <v>272</v>
      </c>
      <c r="D23" t="s">
        <v>275</v>
      </c>
      <c r="E23" t="s">
        <v>267</v>
      </c>
      <c r="F23">
        <v>2338</v>
      </c>
      <c r="G23" t="s">
        <v>272</v>
      </c>
    </row>
    <row r="24" spans="1:7" x14ac:dyDescent="0.25">
      <c r="A24" t="s">
        <v>48</v>
      </c>
      <c r="B24" t="s">
        <v>241</v>
      </c>
      <c r="C24" t="s">
        <v>110</v>
      </c>
      <c r="D24" t="s">
        <v>277</v>
      </c>
      <c r="E24" t="s">
        <v>267</v>
      </c>
      <c r="F24">
        <v>2338</v>
      </c>
      <c r="G24" t="s">
        <v>110</v>
      </c>
    </row>
    <row r="25" spans="1:7" x14ac:dyDescent="0.25">
      <c r="A25" t="s">
        <v>48</v>
      </c>
      <c r="B25" t="s">
        <v>180</v>
      </c>
      <c r="C25" t="s">
        <v>272</v>
      </c>
      <c r="D25" t="s">
        <v>275</v>
      </c>
      <c r="E25" t="s">
        <v>267</v>
      </c>
      <c r="F25">
        <v>2338</v>
      </c>
      <c r="G25" t="s">
        <v>272</v>
      </c>
    </row>
    <row r="26" spans="1:7" x14ac:dyDescent="0.25">
      <c r="A26" t="s">
        <v>48</v>
      </c>
      <c r="B26" t="s">
        <v>169</v>
      </c>
      <c r="C26" t="s">
        <v>272</v>
      </c>
      <c r="D26" t="s">
        <v>275</v>
      </c>
      <c r="E26" t="s">
        <v>267</v>
      </c>
      <c r="F26">
        <v>2338</v>
      </c>
      <c r="G26" t="s">
        <v>272</v>
      </c>
    </row>
    <row r="27" spans="1:7" x14ac:dyDescent="0.25">
      <c r="A27" t="s">
        <v>48</v>
      </c>
      <c r="B27" t="s">
        <v>242</v>
      </c>
      <c r="C27" t="s">
        <v>110</v>
      </c>
      <c r="D27" t="s">
        <v>277</v>
      </c>
      <c r="E27" t="s">
        <v>267</v>
      </c>
      <c r="F27">
        <v>2338</v>
      </c>
      <c r="G27" t="s">
        <v>110</v>
      </c>
    </row>
    <row r="28" spans="1:7" x14ac:dyDescent="0.25">
      <c r="A28" t="s">
        <v>48</v>
      </c>
      <c r="B28" t="s">
        <v>175</v>
      </c>
      <c r="C28" t="s">
        <v>268</v>
      </c>
      <c r="D28" t="s">
        <v>275</v>
      </c>
      <c r="E28" t="s">
        <v>267</v>
      </c>
      <c r="F28">
        <v>2338</v>
      </c>
      <c r="G28" t="s">
        <v>268</v>
      </c>
    </row>
    <row r="29" spans="1:7" x14ac:dyDescent="0.25">
      <c r="A29" t="s">
        <v>48</v>
      </c>
      <c r="B29" t="s">
        <v>178</v>
      </c>
      <c r="C29" t="s">
        <v>268</v>
      </c>
      <c r="D29" t="s">
        <v>276</v>
      </c>
      <c r="E29" t="s">
        <v>267</v>
      </c>
      <c r="F29">
        <v>2338</v>
      </c>
      <c r="G29" t="s">
        <v>268</v>
      </c>
    </row>
    <row r="30" spans="1:7" x14ac:dyDescent="0.25">
      <c r="A30" t="s">
        <v>48</v>
      </c>
      <c r="B30" t="s">
        <v>172</v>
      </c>
      <c r="C30" t="s">
        <v>268</v>
      </c>
      <c r="D30" t="s">
        <v>275</v>
      </c>
      <c r="E30" t="s">
        <v>267</v>
      </c>
      <c r="F30">
        <v>2338</v>
      </c>
      <c r="G30" t="s">
        <v>268</v>
      </c>
    </row>
    <row r="31" spans="1:7" x14ac:dyDescent="0.25">
      <c r="A31" t="s">
        <v>48</v>
      </c>
      <c r="B31" t="s">
        <v>243</v>
      </c>
      <c r="C31" t="s">
        <v>110</v>
      </c>
      <c r="D31" t="s">
        <v>276</v>
      </c>
      <c r="E31" t="s">
        <v>267</v>
      </c>
      <c r="F31">
        <v>2338</v>
      </c>
      <c r="G31" t="s">
        <v>110</v>
      </c>
    </row>
    <row r="32" spans="1:7" x14ac:dyDescent="0.25">
      <c r="A32" t="s">
        <v>48</v>
      </c>
      <c r="B32" t="s">
        <v>244</v>
      </c>
      <c r="C32" t="s">
        <v>272</v>
      </c>
      <c r="D32" t="s">
        <v>275</v>
      </c>
      <c r="E32" t="s">
        <v>267</v>
      </c>
      <c r="F32">
        <v>2338</v>
      </c>
      <c r="G32" t="s">
        <v>272</v>
      </c>
    </row>
    <row r="33" spans="1:7" x14ac:dyDescent="0.25">
      <c r="A33" t="s">
        <v>48</v>
      </c>
      <c r="B33" t="s">
        <v>245</v>
      </c>
      <c r="C33" t="s">
        <v>272</v>
      </c>
      <c r="D33" t="s">
        <v>275</v>
      </c>
      <c r="E33" t="s">
        <v>267</v>
      </c>
      <c r="F33">
        <v>2338</v>
      </c>
      <c r="G33" t="s">
        <v>272</v>
      </c>
    </row>
    <row r="34" spans="1:7" x14ac:dyDescent="0.25">
      <c r="A34" t="s">
        <v>48</v>
      </c>
      <c r="B34" t="s">
        <v>246</v>
      </c>
      <c r="C34" t="s">
        <v>110</v>
      </c>
      <c r="D34" t="s">
        <v>276</v>
      </c>
      <c r="E34" t="s">
        <v>267</v>
      </c>
      <c r="F34">
        <v>2338</v>
      </c>
      <c r="G34" t="s">
        <v>110</v>
      </c>
    </row>
    <row r="35" spans="1:7" x14ac:dyDescent="0.25">
      <c r="A35" t="s">
        <v>48</v>
      </c>
      <c r="B35" t="s">
        <v>247</v>
      </c>
      <c r="C35" t="s">
        <v>110</v>
      </c>
      <c r="D35" t="s">
        <v>276</v>
      </c>
      <c r="E35" t="s">
        <v>267</v>
      </c>
      <c r="F35">
        <v>2338</v>
      </c>
      <c r="G35" t="s">
        <v>110</v>
      </c>
    </row>
    <row r="36" spans="1:7" x14ac:dyDescent="0.25">
      <c r="A36" t="s">
        <v>48</v>
      </c>
      <c r="B36" t="s">
        <v>248</v>
      </c>
      <c r="C36" t="s">
        <v>110</v>
      </c>
      <c r="D36" t="s">
        <v>277</v>
      </c>
      <c r="E36" t="s">
        <v>267</v>
      </c>
      <c r="F36">
        <v>2338</v>
      </c>
      <c r="G36" t="s">
        <v>110</v>
      </c>
    </row>
    <row r="37" spans="1:7" x14ac:dyDescent="0.25">
      <c r="A37" t="s">
        <v>48</v>
      </c>
      <c r="B37" t="s">
        <v>249</v>
      </c>
      <c r="C37" t="s">
        <v>110</v>
      </c>
      <c r="D37" t="s">
        <v>277</v>
      </c>
      <c r="E37" t="s">
        <v>267</v>
      </c>
      <c r="F37">
        <v>2338</v>
      </c>
      <c r="G37" t="s">
        <v>110</v>
      </c>
    </row>
    <row r="38" spans="1:7" x14ac:dyDescent="0.25">
      <c r="A38" t="s">
        <v>48</v>
      </c>
      <c r="B38" t="s">
        <v>250</v>
      </c>
      <c r="C38" t="s">
        <v>110</v>
      </c>
      <c r="D38" t="s">
        <v>277</v>
      </c>
      <c r="E38" t="s">
        <v>267</v>
      </c>
      <c r="F38">
        <v>2338</v>
      </c>
      <c r="G38" t="s">
        <v>110</v>
      </c>
    </row>
    <row r="39" spans="1:7" x14ac:dyDescent="0.25">
      <c r="A39" t="s">
        <v>48</v>
      </c>
      <c r="B39" t="s">
        <v>251</v>
      </c>
      <c r="C39" t="s">
        <v>268</v>
      </c>
      <c r="D39" t="s">
        <v>275</v>
      </c>
      <c r="E39" t="s">
        <v>267</v>
      </c>
      <c r="F39">
        <v>2338</v>
      </c>
      <c r="G39" t="s">
        <v>268</v>
      </c>
    </row>
    <row r="40" spans="1:7" x14ac:dyDescent="0.25">
      <c r="A40" t="s">
        <v>48</v>
      </c>
      <c r="B40" t="s">
        <v>252</v>
      </c>
      <c r="C40" t="s">
        <v>268</v>
      </c>
      <c r="D40" t="s">
        <v>275</v>
      </c>
      <c r="E40" t="s">
        <v>267</v>
      </c>
      <c r="F40">
        <v>2338</v>
      </c>
      <c r="G40" t="s">
        <v>268</v>
      </c>
    </row>
    <row r="41" spans="1:7" x14ac:dyDescent="0.25">
      <c r="A41" t="s">
        <v>37</v>
      </c>
      <c r="B41" t="s">
        <v>168</v>
      </c>
      <c r="C41" t="s">
        <v>272</v>
      </c>
      <c r="D41" t="s">
        <v>276</v>
      </c>
      <c r="E41" t="s">
        <v>270</v>
      </c>
      <c r="F41">
        <v>2313</v>
      </c>
      <c r="G41" t="s">
        <v>272</v>
      </c>
    </row>
    <row r="42" spans="1:7" x14ac:dyDescent="0.25">
      <c r="A42" t="s">
        <v>65</v>
      </c>
      <c r="B42" t="s">
        <v>176</v>
      </c>
      <c r="C42" t="s">
        <v>268</v>
      </c>
      <c r="D42" t="s">
        <v>275</v>
      </c>
      <c r="E42" t="s">
        <v>269</v>
      </c>
      <c r="F42">
        <v>2302</v>
      </c>
      <c r="G42" t="s">
        <v>268</v>
      </c>
    </row>
    <row r="43" spans="1:7" x14ac:dyDescent="0.25">
      <c r="A43" t="s">
        <v>65</v>
      </c>
      <c r="B43" t="s">
        <v>253</v>
      </c>
      <c r="C43" t="s">
        <v>268</v>
      </c>
      <c r="D43" t="s">
        <v>275</v>
      </c>
      <c r="E43" t="s">
        <v>269</v>
      </c>
      <c r="F43">
        <v>2302</v>
      </c>
      <c r="G43" t="s">
        <v>268</v>
      </c>
    </row>
    <row r="44" spans="1:7" x14ac:dyDescent="0.25">
      <c r="A44" t="s">
        <v>65</v>
      </c>
      <c r="B44" t="s">
        <v>254</v>
      </c>
      <c r="C44" t="s">
        <v>268</v>
      </c>
      <c r="D44" t="s">
        <v>275</v>
      </c>
      <c r="E44" t="s">
        <v>269</v>
      </c>
      <c r="F44">
        <v>2302</v>
      </c>
      <c r="G44" t="s">
        <v>268</v>
      </c>
    </row>
    <row r="45" spans="1:7" x14ac:dyDescent="0.25">
      <c r="A45" t="s">
        <v>65</v>
      </c>
      <c r="B45" t="s">
        <v>255</v>
      </c>
      <c r="C45" t="s">
        <v>268</v>
      </c>
      <c r="D45" t="s">
        <v>276</v>
      </c>
      <c r="E45" t="s">
        <v>269</v>
      </c>
      <c r="F45">
        <v>2302</v>
      </c>
      <c r="G45" t="s">
        <v>268</v>
      </c>
    </row>
    <row r="46" spans="1:7" x14ac:dyDescent="0.25">
      <c r="A46" t="s">
        <v>65</v>
      </c>
      <c r="B46" t="s">
        <v>256</v>
      </c>
      <c r="C46" t="s">
        <v>272</v>
      </c>
      <c r="D46" t="s">
        <v>275</v>
      </c>
      <c r="E46" t="s">
        <v>269</v>
      </c>
      <c r="F46">
        <v>2302</v>
      </c>
      <c r="G46" t="s">
        <v>272</v>
      </c>
    </row>
    <row r="47" spans="1:7" x14ac:dyDescent="0.25">
      <c r="A47" t="s">
        <v>65</v>
      </c>
      <c r="B47" t="s">
        <v>183</v>
      </c>
      <c r="C47" t="s">
        <v>272</v>
      </c>
      <c r="D47" t="s">
        <v>275</v>
      </c>
      <c r="E47" t="s">
        <v>269</v>
      </c>
      <c r="F47">
        <v>2302</v>
      </c>
      <c r="G47" t="s">
        <v>272</v>
      </c>
    </row>
    <row r="48" spans="1:7" x14ac:dyDescent="0.25">
      <c r="A48" t="s">
        <v>65</v>
      </c>
      <c r="B48" t="s">
        <v>257</v>
      </c>
      <c r="C48" t="s">
        <v>272</v>
      </c>
      <c r="D48" t="s">
        <v>275</v>
      </c>
      <c r="E48" t="s">
        <v>269</v>
      </c>
      <c r="F48">
        <v>2302</v>
      </c>
      <c r="G48" t="s">
        <v>272</v>
      </c>
    </row>
    <row r="49" spans="1:7" x14ac:dyDescent="0.25">
      <c r="A49" t="s">
        <v>65</v>
      </c>
      <c r="B49" t="s">
        <v>258</v>
      </c>
      <c r="C49" t="s">
        <v>272</v>
      </c>
      <c r="D49" t="s">
        <v>275</v>
      </c>
      <c r="E49" t="s">
        <v>269</v>
      </c>
      <c r="F49">
        <v>2302</v>
      </c>
      <c r="G49" t="s">
        <v>272</v>
      </c>
    </row>
    <row r="50" spans="1:7" x14ac:dyDescent="0.25">
      <c r="A50" t="s">
        <v>65</v>
      </c>
      <c r="B50" t="s">
        <v>259</v>
      </c>
      <c r="C50" t="s">
        <v>110</v>
      </c>
      <c r="D50" t="s">
        <v>277</v>
      </c>
      <c r="E50" t="s">
        <v>269</v>
      </c>
      <c r="F50">
        <v>2302</v>
      </c>
      <c r="G50" t="s">
        <v>110</v>
      </c>
    </row>
    <row r="51" spans="1:7" x14ac:dyDescent="0.25">
      <c r="A51" t="s">
        <v>34</v>
      </c>
      <c r="B51" t="s">
        <v>260</v>
      </c>
      <c r="C51" t="s">
        <v>272</v>
      </c>
      <c r="D51" t="s">
        <v>275</v>
      </c>
      <c r="E51" t="s">
        <v>271</v>
      </c>
      <c r="F51">
        <v>2298</v>
      </c>
      <c r="G51" t="s">
        <v>272</v>
      </c>
    </row>
    <row r="52" spans="1:7" x14ac:dyDescent="0.25">
      <c r="A52" t="s">
        <v>44</v>
      </c>
      <c r="B52" t="s">
        <v>261</v>
      </c>
      <c r="C52" t="s">
        <v>268</v>
      </c>
      <c r="D52" t="s">
        <v>277</v>
      </c>
      <c r="E52" t="s">
        <v>369</v>
      </c>
      <c r="F52">
        <v>2555</v>
      </c>
      <c r="G52" t="s">
        <v>268</v>
      </c>
    </row>
    <row r="53" spans="1:7" x14ac:dyDescent="0.25">
      <c r="A53" t="s">
        <v>37</v>
      </c>
      <c r="B53" t="s">
        <v>262</v>
      </c>
      <c r="C53" t="s">
        <v>110</v>
      </c>
      <c r="D53" t="s">
        <v>277</v>
      </c>
      <c r="E53" t="s">
        <v>270</v>
      </c>
      <c r="F53">
        <v>2313</v>
      </c>
      <c r="G53" t="s">
        <v>110</v>
      </c>
    </row>
    <row r="54" spans="1:7" x14ac:dyDescent="0.25">
      <c r="A54" t="s">
        <v>37</v>
      </c>
      <c r="B54" t="s">
        <v>263</v>
      </c>
      <c r="C54" t="s">
        <v>110</v>
      </c>
      <c r="D54" t="s">
        <v>277</v>
      </c>
      <c r="E54" t="s">
        <v>270</v>
      </c>
      <c r="F54">
        <v>2313</v>
      </c>
      <c r="G54" t="s">
        <v>110</v>
      </c>
    </row>
    <row r="55" spans="1:7" x14ac:dyDescent="0.25">
      <c r="A55" t="s">
        <v>44</v>
      </c>
      <c r="B55" t="s">
        <v>187</v>
      </c>
      <c r="C55" t="s">
        <v>110</v>
      </c>
      <c r="D55" t="s">
        <v>277</v>
      </c>
      <c r="E55" t="s">
        <v>369</v>
      </c>
      <c r="F55">
        <v>2555</v>
      </c>
      <c r="G55" t="s">
        <v>110</v>
      </c>
    </row>
    <row r="56" spans="1:7" x14ac:dyDescent="0.25">
      <c r="A56" t="s">
        <v>48</v>
      </c>
      <c r="B56" t="s">
        <v>167</v>
      </c>
      <c r="C56" t="s">
        <v>272</v>
      </c>
      <c r="D56" t="s">
        <v>275</v>
      </c>
      <c r="E56" t="s">
        <v>267</v>
      </c>
      <c r="F56">
        <v>2338</v>
      </c>
      <c r="G56" t="s">
        <v>272</v>
      </c>
    </row>
    <row r="57" spans="1:7" x14ac:dyDescent="0.25">
      <c r="A57" t="s">
        <v>44</v>
      </c>
      <c r="B57" t="s">
        <v>179</v>
      </c>
      <c r="C57" t="s">
        <v>268</v>
      </c>
      <c r="D57" t="s">
        <v>277</v>
      </c>
      <c r="E57" t="s">
        <v>369</v>
      </c>
      <c r="F57">
        <v>2555</v>
      </c>
      <c r="G57" t="s">
        <v>268</v>
      </c>
    </row>
    <row r="58" spans="1:7" x14ac:dyDescent="0.25">
      <c r="A58" t="s">
        <v>37</v>
      </c>
      <c r="B58" t="s">
        <v>182</v>
      </c>
      <c r="C58" t="s">
        <v>272</v>
      </c>
      <c r="D58" t="s">
        <v>276</v>
      </c>
      <c r="E58" t="s">
        <v>270</v>
      </c>
      <c r="F58">
        <v>2313</v>
      </c>
      <c r="G58" t="s">
        <v>272</v>
      </c>
    </row>
    <row r="59" spans="1:7" x14ac:dyDescent="0.25">
      <c r="A59" t="s">
        <v>65</v>
      </c>
      <c r="B59" t="s">
        <v>323</v>
      </c>
      <c r="C59" t="s">
        <v>272</v>
      </c>
      <c r="D59" t="s">
        <v>275</v>
      </c>
      <c r="E59" t="s">
        <v>269</v>
      </c>
      <c r="F59">
        <v>2302</v>
      </c>
      <c r="G59" t="s">
        <v>272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D2540-96D5-4DAC-8BEC-54EC950951CB}">
  <sheetPr codeName="Sheet16"/>
  <dimension ref="A1:G2"/>
  <sheetViews>
    <sheetView workbookViewId="0">
      <selection activeCell="K15" sqref="K15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278</v>
      </c>
      <c r="B1" t="s">
        <v>279</v>
      </c>
      <c r="C1" t="s">
        <v>280</v>
      </c>
      <c r="D1" t="s">
        <v>24</v>
      </c>
      <c r="E1" t="s">
        <v>4</v>
      </c>
      <c r="F1" t="s">
        <v>166</v>
      </c>
      <c r="G1" t="s">
        <v>225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51DCE-9BEA-426E-AA5D-A59B883F260F}">
  <sheetPr codeName="Sheet17"/>
  <dimension ref="A1:G5"/>
  <sheetViews>
    <sheetView workbookViewId="0">
      <selection sqref="A1:G8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6.85546875" bestFit="1" customWidth="1"/>
    <col min="4" max="4" width="7.42578125" bestFit="1" customWidth="1"/>
    <col min="5" max="5" width="9.5703125" bestFit="1" customWidth="1"/>
    <col min="6" max="6" width="29.7109375" bestFit="1" customWidth="1"/>
    <col min="7" max="7" width="19" bestFit="1" customWidth="1"/>
  </cols>
  <sheetData>
    <row r="1" spans="1:7" x14ac:dyDescent="0.25">
      <c r="A1" t="s">
        <v>278</v>
      </c>
      <c r="B1" t="s">
        <v>279</v>
      </c>
      <c r="C1" t="s">
        <v>280</v>
      </c>
      <c r="D1" t="s">
        <v>24</v>
      </c>
      <c r="E1" t="s">
        <v>4</v>
      </c>
      <c r="F1" t="s">
        <v>166</v>
      </c>
      <c r="G1" t="s">
        <v>225</v>
      </c>
    </row>
    <row r="2" spans="1:7" x14ac:dyDescent="0.25">
      <c r="A2" s="2">
        <v>45670</v>
      </c>
      <c r="B2" s="2">
        <v>45677</v>
      </c>
      <c r="C2" t="s">
        <v>187</v>
      </c>
      <c r="D2">
        <v>1.5</v>
      </c>
      <c r="E2" t="s">
        <v>12</v>
      </c>
      <c r="F2" t="s">
        <v>44</v>
      </c>
      <c r="G2" t="s">
        <v>187</v>
      </c>
    </row>
    <row r="3" spans="1:7" x14ac:dyDescent="0.25">
      <c r="A3" s="2">
        <v>45670</v>
      </c>
      <c r="B3" s="2">
        <v>45677</v>
      </c>
      <c r="C3" t="s">
        <v>168</v>
      </c>
      <c r="D3">
        <v>0.75</v>
      </c>
      <c r="E3" t="s">
        <v>12</v>
      </c>
      <c r="F3" t="s">
        <v>37</v>
      </c>
      <c r="G3" t="s">
        <v>168</v>
      </c>
    </row>
    <row r="4" spans="1:7" x14ac:dyDescent="0.25">
      <c r="A4" s="2">
        <v>45670</v>
      </c>
      <c r="B4" s="2">
        <v>45677</v>
      </c>
      <c r="C4" t="s">
        <v>177</v>
      </c>
      <c r="D4">
        <v>1.3</v>
      </c>
      <c r="E4" t="s">
        <v>12</v>
      </c>
      <c r="F4" t="s">
        <v>37</v>
      </c>
      <c r="G4" t="s">
        <v>177</v>
      </c>
    </row>
    <row r="5" spans="1:7" x14ac:dyDescent="0.25">
      <c r="A5" s="2">
        <v>45670</v>
      </c>
      <c r="B5" s="2">
        <v>45677</v>
      </c>
      <c r="C5" t="s">
        <v>323</v>
      </c>
      <c r="D5">
        <v>2.15</v>
      </c>
      <c r="E5" t="s">
        <v>12</v>
      </c>
      <c r="F5" t="s">
        <v>65</v>
      </c>
      <c r="G5" t="s">
        <v>323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C24" sqref="C24"/>
    </sheetView>
  </sheetViews>
  <sheetFormatPr defaultRowHeight="15" x14ac:dyDescent="0.25"/>
  <cols>
    <col min="1" max="1" width="16.85546875" customWidth="1"/>
    <col min="2" max="2" width="20.7109375" customWidth="1"/>
    <col min="3" max="3" width="20.28515625" customWidth="1"/>
    <col min="4" max="4" width="10.7109375" customWidth="1"/>
  </cols>
  <sheetData>
    <row r="2" spans="1:5" x14ac:dyDescent="0.25">
      <c r="A2" s="1" t="s">
        <v>281</v>
      </c>
      <c r="B2" s="1" t="s">
        <v>282</v>
      </c>
    </row>
    <row r="3" spans="1:5" x14ac:dyDescent="0.25">
      <c r="A3" s="1" t="s">
        <v>283</v>
      </c>
      <c r="B3" t="str" cm="1">
        <f t="array" aca="1" ref="B3" ca="1">LEFT(CELL("filename",A1),FIND("[",CELL("filename",A1))-1)</f>
        <v>C:\Users\apple_gi6luwz\Desktop\DIV2_Analysis\DIV2_Analysis\</v>
      </c>
    </row>
    <row r="4" spans="1:5" x14ac:dyDescent="0.25">
      <c r="A4" s="1" t="s">
        <v>284</v>
      </c>
      <c r="B4" t="str" cm="1">
        <f t="array" aca="1" ref="B4" ca="1">LEFT(CELL("filename",A1),FIND("VDP",CELL("filename",A1))-1)</f>
        <v>C:\Users\apple_gi6luwz\Desktop\DIV2_Analysis\DIV2_Analysis\[</v>
      </c>
    </row>
    <row r="9" spans="1:5" x14ac:dyDescent="0.25">
      <c r="A9" s="1" t="s">
        <v>281</v>
      </c>
      <c r="B9" s="1" t="s">
        <v>285</v>
      </c>
      <c r="C9" s="1" t="s">
        <v>286</v>
      </c>
      <c r="D9" s="1" t="s">
        <v>287</v>
      </c>
      <c r="E9" s="1" t="s">
        <v>288</v>
      </c>
    </row>
    <row r="10" spans="1:5" x14ac:dyDescent="0.25">
      <c r="A10" t="s">
        <v>289</v>
      </c>
      <c r="B10" t="s">
        <v>308</v>
      </c>
      <c r="D10" t="s">
        <v>290</v>
      </c>
      <c r="E10" t="str">
        <f ca="1">CONCATENATE($B$3,A10,B10)</f>
        <v>C:\Users\apple_gi6luwz\Desktop\DIV2_Analysis\DIV2_Analysis\RAW DATA\UBER REPORT\</v>
      </c>
    </row>
    <row r="11" spans="1:5" x14ac:dyDescent="0.25">
      <c r="A11" t="s">
        <v>289</v>
      </c>
      <c r="B11" t="s">
        <v>291</v>
      </c>
      <c r="D11" t="s">
        <v>292</v>
      </c>
      <c r="E11" t="str">
        <f ca="1">CONCATENATE($B$3,A11,B11)</f>
        <v>C:\Users\apple_gi6luwz\Desktop\DIV2_Analysis\DIV2_Analysis\RAW DATA\FIRST REPORT\</v>
      </c>
    </row>
    <row r="12" spans="1:5" x14ac:dyDescent="0.25">
      <c r="C12" t="s">
        <v>293</v>
      </c>
      <c r="D12" t="s">
        <v>294</v>
      </c>
      <c r="E12" t="str">
        <f ca="1">CONCATENATE($B$3,A12,B12,C12)</f>
        <v>C:\Users\apple_gi6luwz\Desktop\DIV2_Analysis\DIV2_Analysis\Operator Deductions-Other Earnings.xlsx</v>
      </c>
    </row>
    <row r="13" spans="1:5" x14ac:dyDescent="0.25">
      <c r="C13" t="s">
        <v>295</v>
      </c>
      <c r="D13" t="s">
        <v>296</v>
      </c>
      <c r="E13" t="str">
        <f ca="1">CONCATENATE($B$4,B13,A13,C13)</f>
        <v>C:\Users\apple_gi6luwz\Desktop\DIV2_Analysis\DIV2_Analysis\[DIV 2 Partner List.xlsx</v>
      </c>
    </row>
    <row r="14" spans="1:5" x14ac:dyDescent="0.25">
      <c r="C14" t="s">
        <v>297</v>
      </c>
      <c r="D14" t="s">
        <v>298</v>
      </c>
      <c r="E14" t="str">
        <f ca="1">CONCATENATE($B$4,B14,A14,C14)</f>
        <v>C:\Users\apple_gi6luwz\Desktop\DIV2_Analysis\DIV2_Analysis\[DIV 2 Partner Rates.xlsx</v>
      </c>
    </row>
    <row r="15" spans="1:5" x14ac:dyDescent="0.25">
      <c r="C15" t="s">
        <v>299</v>
      </c>
      <c r="D15" t="s">
        <v>300</v>
      </c>
      <c r="E15" t="str">
        <f ca="1">CONCATENATE($B$4,B15,A15,C15)</f>
        <v>C:\Users\apple_gi6luwz\Desktop\DIV2_Analysis\DIV2_Analysis\[DIV 2 Partner Change.xlsx</v>
      </c>
    </row>
    <row r="16" spans="1:5" x14ac:dyDescent="0.25">
      <c r="C16" t="s">
        <v>301</v>
      </c>
      <c r="D16" t="s">
        <v>302</v>
      </c>
      <c r="E16" t="str">
        <f ca="1">CONCATENATE($B$3,B16,A16,C16)</f>
        <v>C:\Users\apple_gi6luwz\Desktop\DIV2_Analysis\DIV2_Analysis\MPG per vehicle.xlsx</v>
      </c>
    </row>
    <row r="17" spans="1:5" x14ac:dyDescent="0.25">
      <c r="C17" t="s">
        <v>303</v>
      </c>
      <c r="D17" t="s">
        <v>304</v>
      </c>
      <c r="E17" t="str">
        <f ca="1">CONCATENATE($B$3,B17,A17,C17)</f>
        <v>C:\Users\apple_gi6luwz\Desktop\DIV2_Analysis\DIV2_Analysis\AAA Fuel Record.xlsx</v>
      </c>
    </row>
    <row r="18" spans="1:5" x14ac:dyDescent="0.25">
      <c r="A18" t="s">
        <v>289</v>
      </c>
      <c r="B18" t="s">
        <v>305</v>
      </c>
      <c r="D18" t="s">
        <v>306</v>
      </c>
      <c r="E18" t="str">
        <f ca="1">CONCATENATE($B$3,A18,B18)</f>
        <v>C:\Users\apple_gi6luwz\Desktop\DIV2_Analysis\DIV2_Analysis\RAW DATA\Miles\</v>
      </c>
    </row>
    <row r="19" spans="1:5" x14ac:dyDescent="0.25">
      <c r="A19" t="s">
        <v>289</v>
      </c>
      <c r="B19" t="s">
        <v>24</v>
      </c>
      <c r="D19" t="s">
        <v>307</v>
      </c>
      <c r="E19" t="str">
        <f ca="1">CONCATENATE($B$3,A19,B19)</f>
        <v>C:\Users\apple_gi6luwz\Desktop\DIV2_Analysis\DIV2_Analysis\RAW DATA\Tolls</v>
      </c>
    </row>
  </sheetData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5"/>
  <sheetViews>
    <sheetView workbookViewId="0"/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5">_xlfn.UNIQUE(Div2PartnerList[PARTNER NAME])</f>
        <v>BEYOND EXPRESS</v>
      </c>
    </row>
    <row r="2" spans="1:1" x14ac:dyDescent="0.25">
      <c r="A2" t="str">
        <v>CIRCLE TRANSIT</v>
      </c>
    </row>
    <row r="3" spans="1:1" x14ac:dyDescent="0.25">
      <c r="A3" t="str">
        <v>DIRECT TRANSIT LLC</v>
      </c>
    </row>
    <row r="4" spans="1:1" x14ac:dyDescent="0.25">
      <c r="A4" t="str">
        <v>Q-TELL TRANSIT LLC</v>
      </c>
    </row>
    <row r="5" spans="1:1" x14ac:dyDescent="0.25">
      <c r="A5" t="str">
        <v>DEAN LOGISTICS SOLUTIONS LLC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55E8218-315C-4A04-95DF-1944FF92B260}">
  <ds:schemaRefs>
    <ds:schemaRef ds:uri="http://schemas.microsoft.com/office/2006/metadata/properties"/>
    <ds:schemaRef ds:uri="http://schemas.microsoft.com/office/infopath/2007/PartnerControls"/>
    <ds:schemaRef ds:uri="7da8d662-c373-4bdc-9a9f-4efd5212cc08"/>
    <ds:schemaRef ds:uri="7f2e4ee4-515b-4d13-9a18-91f5c892a786"/>
  </ds:schemaRefs>
</ds:datastoreItem>
</file>

<file path=customXml/itemProps2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D01BED8-DD8D-4B44-B711-80274A2AF7E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D36F044-52DB-4E8A-9DA2-B8CF44E1FE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SEND VDP Statement</vt:lpstr>
      <vt:lpstr>Pay Period</vt:lpstr>
      <vt:lpstr>Deduction and other Revenue</vt:lpstr>
      <vt:lpstr>PR</vt:lpstr>
      <vt:lpstr>NewSheet</vt:lpstr>
      <vt:lpstr>VDPMVReport</vt:lpstr>
      <vt:lpstr>Sheet1</vt:lpstr>
      <vt:lpstr>SumVDPMVReport</vt:lpstr>
      <vt:lpstr>Div2PartnerOperatorCheck</vt:lpstr>
      <vt:lpstr>ExPre</vt:lpstr>
      <vt:lpstr>Div2PartnerListPR</vt:lpstr>
      <vt:lpstr>Div2PartnerList</vt:lpstr>
      <vt:lpstr>TollsChecks</vt:lpstr>
      <vt:lpstr>Tolls</vt:lpstr>
      <vt:lpstr>FilePath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>The Bottom Line Bookkeeping</cp:keywords>
  <dc:description/>
  <cp:lastModifiedBy>Apple Ramirez</cp:lastModifiedBy>
  <cp:revision/>
  <dcterms:created xsi:type="dcterms:W3CDTF">2023-08-16T16:37:36Z</dcterms:created>
  <dcterms:modified xsi:type="dcterms:W3CDTF">2025-02-14T17:14:21Z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