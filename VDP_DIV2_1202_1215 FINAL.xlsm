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/2025/1-Jan/01.03.25/"/>
    </mc:Choice>
  </mc:AlternateContent>
  <xr:revisionPtr revIDLastSave="0" documentId="8_{87B58F27-8D73-467F-B6A3-3A57E9E2640F}" xr6:coauthVersionLast="47" xr6:coauthVersionMax="47" xr10:uidLastSave="{00000000-0000-0000-0000-000000000000}"/>
  <bookViews>
    <workbookView xWindow="-108" yWindow="-108" windowWidth="23256" windowHeight="12456" firstSheet="1" activeTab="3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SumVDPMVReport!$A$1:$BK$11</definedName>
    <definedName name="ExternalData_1" localSheetId="14" hidden="1">Tolls!$A$1:$G$3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VDPMVReport!$A$1:$AK$40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228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22" l="1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<sst xmlns="http://schemas.openxmlformats.org/spreadsheetml/2006/main" count="1239" uniqueCount="374">
  <si>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</si>
  <si>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</si>
  <si>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</si>
  <si>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</si>
  <si>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</si>
  <si>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</si>
  <si>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</si>
  <si>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</si>
  <si>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</si>
  <si>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</si>
  <si>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</si>
  <si>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</si>
  <si>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</si>
  <si>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</si>
  <si>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</si>
  <si>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</si>
  <si>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</si>
  <si>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</si>
  <si>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</si>
  <si>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</si>
  <si>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</si>
  <si>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</si>
  <si>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</si>
  <si>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</si>
  <si>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</si>
  <si>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</si>
  <si>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</si>
  <si>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</si>
  <si>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</si>
  <si>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</si>
  <si>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</si>
  <si>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</si>
  <si>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</si>
  <si>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</si>
  <si>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</si>
  <si>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</si>
  <si>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</si>
  <si>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</si>
  <si>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</si>
  <si>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</si>
  <si>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</si>
  <si>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</si>
  <si>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</si>
  <si>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</si>
  <si>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</si>
  <si>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</si>
  <si>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</si>
  <si>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</si>
  <si>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</si>
  <si>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</si>
  <si>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</si>
  <si>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</si>
  <si>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</si>
  <si>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</si>
  <si>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</si>
  <si>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</si>
  <si>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</si>
  <si>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</si>
  <si>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</si>
  <si>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</si>
  <si>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</si>
  <si>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</si>
  <si>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</si>
  <si>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</si>
  <si>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</si>
  <si>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</si>
  <si>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</si>
  <si>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</si>
  <si>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</si>
  <si>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</si>
  <si>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</si>
  <si>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</si>
  <si>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</si>
  <si>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</si>
  <si>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</si>
  <si>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</si>
  <si>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</si>
  <si>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</si>
  <si>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</si>
  <si>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</si>
  <si>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</si>
  <si>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</si>
  <si>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</si>
  <si>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</si>
  <si>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</si>
  <si>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</si>
  <si>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</si>
  <si>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</si>
  <si>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</si>
  <si>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</si>
  <si>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</si>
  <si>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</si>
  <si>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</si>
  <si>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</si>
  <si>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</si>
  <si>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</si>
  <si>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</si>
  <si>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</si>
  <si>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</si>
  <si>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</si>
  <si>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</si>
  <si>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</si>
  <si>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</si>
  <si>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</si>
  <si>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</si>
  <si>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</si>
  <si>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</si>
  <si>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</si>
  <si>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</si>
  <si>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</si>
  <si>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</si>
  <si>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</si>
  <si>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</si>
  <si>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</si>
  <si>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</si>
  <si>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</si>
  <si>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</si>
  <si>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</si>
  <si>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</si>
  <si>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</si>
  <si>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</si>
  <si>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</si>
  <si>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</si>
  <si>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</si>
  <si>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</si>
  <si>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</si>
  <si>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</si>
  <si>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</si>
  <si>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</si>
  <si>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</si>
  <si>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</si>
  <si>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</si>
  <si>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</si>
  <si>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</si>
  <si>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</si>
  <si>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</si>
  <si>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</si>
  <si>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</si>
  <si>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</si>
  <si>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</si>
  <si>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</si>
  <si>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</si>
  <si>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</si>
  <si>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</si>
  <si>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</si>
  <si>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</si>
  <si>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</si>
  <si>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</si>
  <si>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</si>
  <si>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</si>
  <si>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</si>
  <si>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</si>
  <si>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</si>
  <si>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</si>
  <si>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</si>
  <si>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</si>
  <si>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</si>
  <si>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</si>
  <si>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</si>
  <si>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</si>
  <si>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</si>
  <si>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</si>
  <si>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</si>
  <si>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</si>
  <si>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</si>
  <si>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</si>
  <si>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</si>
  <si>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</si>
  <si>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</si>
  <si>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</si>
  <si>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</si>
  <si>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</si>
  <si>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</si>
  <si>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</si>
  <si>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</si>
  <si>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</si>
  <si>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</si>
  <si>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</si>
  <si>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</si>
  <si>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</si>
  <si>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</si>
  <si>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</si>
  <si>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</si>
  <si>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</si>
  <si>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</si>
  <si>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</si>
  <si>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</si>
  <si>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</t>
  </si>
  <si>
    <t>Rodgers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</si>
  <si>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</si>
  <si>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</si>
  <si>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</si>
  <si>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</si>
  <si>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</si>
  <si>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</si>
  <si>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</si>
  <si>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</si>
  <si>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</si>
  <si>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</si>
  <si>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</si>
  <si>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</si>
  <si>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</si>
  <si>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</si>
  <si>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</si>
  <si>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</si>
  <si>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</si>
  <si>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</si>
  <si>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</si>
  <si>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</si>
  <si>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</si>
  <si>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</si>
  <si>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</si>
  <si>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</si>
  <si>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</si>
  <si>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</si>
  <si>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</si>
  <si>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</si>
  <si>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</si>
  <si>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</si>
  <si>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</si>
  <si>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</si>
  <si>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</si>
  <si>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</si>
  <si>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</si>
  <si>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</si>
  <si>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</si>
  <si>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</si>
  <si>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</si>
  <si>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</si>
  <si>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</si>
  <si>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</si>
  <si>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</si>
  <si>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</si>
  <si>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</si>
  <si>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</si>
  <si>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</si>
  <si>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</si>
  <si>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</si>
  <si>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</si>
  <si>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</si>
  <si>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</si>
  <si>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</si>
  <si>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</si>
  <si>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</si>
  <si>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</si>
  <si>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</si>
  <si>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</si>
  <si>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</si>
  <si>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</si>
  <si>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</si>
  <si>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</si>
  <si>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</si>
  <si>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</si>
  <si>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</si>
  <si>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</si>
  <si>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</si>
  <si>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</si>
  <si>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</si>
  <si>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</si>
  <si>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</si>
  <si>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</si>
  <si>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</si>
  <si>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</si>
  <si>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</si>
  <si>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</si>
  <si>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</si>
  <si>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</si>
  <si>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</si>
  <si>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</si>
  <si>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</si>
  <si>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</si>
  <si>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</si>
  <si>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stevelawr63@gmail.com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</si>
  <si>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</si>
  <si>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</si>
  <si>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</si>
  <si>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</si>
  <si>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</si>
  <si>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</si>
  <si>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</si>
  <si>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</si>
  <si>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</si>
  <si>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</si>
  <si>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</si>
  <si>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</si>
  <si>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</si>
  <si>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</si>
  <si>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</si>
  <si>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</si>
  <si>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</si>
  <si>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</si>
  <si>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</si>
  <si>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</si>
  <si>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</si>
  <si>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</si>
  <si>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</si>
  <si>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</si>
  <si>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</si>
  <si>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</si>
  <si>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</si>
  <si>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</si>
  <si>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</si>
  <si>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</si>
  <si>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</si>
  <si>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</si>
  <si>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</si>
  <si>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</si>
  <si>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</si>
  <si>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</si>
  <si>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</si>
  <si>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</si>
  <si>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</si>
  <si>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</si>
  <si>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MICHAEL</t>
  </si>
  <si>
    <t>WESLEY</t>
  </si>
  <si>
    <t>8a53631f-e95d-497e-9f6b-94a59bf6f636</t>
  </si>
  <si>
    <t>BRENDA</t>
  </si>
  <si>
    <t>LUMPKIN</t>
  </si>
  <si>
    <t>7a0ecf1f-5b18-42e6-a740-2a868b7052d0</t>
  </si>
  <si>
    <t>Dennis</t>
  </si>
  <si>
    <t>Jones</t>
  </si>
  <si>
    <t>b06c3f82-32fd-4a9d-8c54-c7cfa213c376</t>
  </si>
  <si>
    <t>BRIAN</t>
  </si>
  <si>
    <t>SMITH</t>
  </si>
  <si>
    <t>91a338b2-da4e-4086-ae08-c5bc0d720bb8</t>
  </si>
  <si>
    <t>STERLING</t>
  </si>
  <si>
    <t>ROGERS</t>
  </si>
  <si>
    <t>d1b3a90c-a07c-4a21-9f92-a312a5a2f56b</t>
  </si>
  <si>
    <t>Lawrence</t>
  </si>
  <si>
    <t>Moore</t>
  </si>
  <si>
    <t>b35f1770-90e0-40dd-b13a-6d24540e43db</t>
  </si>
  <si>
    <t>Jones Jr</t>
  </si>
  <si>
    <t>f3d50d20-6656-4a9b-bd58-d99601e7189a</t>
  </si>
  <si>
    <t>HENRY</t>
  </si>
  <si>
    <t>PINCKNEY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</si>
  <si>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</si>
  <si>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</si>
  <si>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</si>
  <si>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</si>
  <si>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</si>
  <si>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</si>
  <si>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</si>
  <si>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</si>
  <si>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</si>
  <si>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</si>
  <si>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Ethel</t>
  </si>
  <si>
    <t>Stewart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</si>
  <si>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</si>
  <si>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</si>
  <si>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</si>
  <si>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</si>
  <si>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</si>
  <si>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</si>
  <si>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</si>
  <si>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febac3d6-acba-44ce-afd0-0ab4ec60b217</t>
  </si>
  <si>
    <t>ANTWAN</t>
  </si>
  <si>
    <t>LAMBERT JR</t>
  </si>
  <si>
    <t>1cf99add-e853-4b78-9d16-07a0a98a43fd</t>
  </si>
  <si>
    <t>Sarah</t>
  </si>
  <si>
    <t>Reinhard</t>
  </si>
  <si>
    <t>eae086cc-8911-4063-9a13-f490618c484d</t>
  </si>
  <si>
    <t>Grand Total</t>
  </si>
  <si>
    <t>KEITH</t>
  </si>
  <si>
    <t>CAMPBELL</t>
  </si>
  <si>
    <t>284b9ad4-43a7-4bc4-80f4-eed55e231392</t>
  </si>
  <si>
    <t>MARGARET</t>
  </si>
  <si>
    <t>KESSLER</t>
  </si>
  <si>
    <t>54f53f32-f48e-4a02-8f1c-4e1a64817267</t>
  </si>
  <si>
    <t>WALTER BURTON</t>
  </si>
  <si>
    <t>DIV2-IL</t>
  </si>
  <si>
    <t>WALTER</t>
  </si>
  <si>
    <t>BURTON</t>
  </si>
  <si>
    <t>35e88020-5a1f-4c0b-a669-3e15886fa4c3</t>
  </si>
  <si>
    <t>Extra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</si>
</sst>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8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8" fontId="9" fillId="0" borderId="3" xfId="0" applyNumberFormat="1" applyFont="1" applyBorder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4" fontId="6" fillId="4" borderId="9" xfId="0" applyNumberFormat="1" applyFont="1" applyFill="1" applyBorder="1" applyAlignment="1">
      <alignment horizontal="center" vertical="center" wrapText="1" readingOrder="1"/>
    </xf>
    <xf numFmtId="164" fontId="11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4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4" fontId="15" fillId="0" borderId="0" xfId="7" applyNumberFormat="1" applyAlignment="1">
      <alignment horizontal="center"/>
    </xf>
    <xf numFmtId="164" fontId="15" fillId="0" borderId="0" xfId="7" quotePrefix="1" applyNumberFormat="1" applyAlignment="1">
      <alignment horizontal="center"/>
    </xf>
    <xf numFmtId="164" fontId="15" fillId="0" borderId="0" xfId="6" applyNumberFormat="1" applyFont="1" applyAlignment="1" applyProtection="1">
      <alignment horizontal="center"/>
    </xf>
    <xf numFmtId="164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4" fontId="8" fillId="2" borderId="0" xfId="7" applyNumberFormat="1" applyFont="1" applyFill="1" applyAlignment="1">
      <alignment horizontal="center"/>
    </xf>
    <xf numFmtId="164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4" fontId="8" fillId="0" borderId="13" xfId="0" applyNumberFormat="1" applyFont="1" applyBorder="1" applyAlignment="1">
      <alignment horizontal="left" vertical="center"/>
    </xf>
    <xf numFmtId="164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vertical="center"/>
    </xf>
    <xf numFmtId="164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164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4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7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5" fontId="0" fillId="0" borderId="0" xfId="11" applyNumberFormat="1" applyFont="1"/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2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488883912039" createdVersion="8" refreshedVersion="8" minRefreshableVersion="3" recordCount="10" xr:uid="{492C9D3A-18D3-4A6B-BF79-3EBAF47C3470}">
  <cacheSource type="worksheet">
    <worksheetSource name="SumVDPMVReport"/>
  </cacheSource>
  <cacheFields count="63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6.37" maxValue="222.6" count="21">
        <n v="50.03"/>
        <n v="211.94000000000003"/>
        <n v="176.70999999999998"/>
        <n v="45.440000000000005"/>
        <n v="96.74"/>
        <n v="40.159999999999997"/>
        <n v="222.6"/>
        <n v="210.14000000000001"/>
        <n v="30.709999999999997"/>
        <n v="55.0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6.37" maxValue="140" count="12">
        <n v="50"/>
        <n v="140"/>
        <n v="45.440000000000005"/>
        <n v="70"/>
        <n v="40.159999999999997"/>
        <n v="30.709999999999997"/>
        <n v="55.0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15">
        <n v="0"/>
        <n v="71.940000000000026"/>
        <n v="36.70999999999998"/>
        <n v="26.739999999999995"/>
        <n v="80"/>
        <n v="70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51183333333333303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minValue="0" maxValue="735.95400000000018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70104895104895104" maxValue="1"/>
    </cacheField>
    <cacheField name="Cancellation Rate" numFmtId="0">
      <sharedItems containsSemiMixedTypes="0" containsString="0" containsNumber="1" minValue="4.9875311720698201E-3" maxValue="4.0540540540540501E-2"/>
    </cacheField>
    <cacheField name="Tier 1 ARDCRI KPI Rev" numFmtId="0">
      <sharedItems containsSemiMixedTypes="0" containsString="0" containsNumber="1" minValue="0" maxValue="730.1"/>
    </cacheField>
    <cacheField name="Tier 2 ARDCRI KPI Rev" numFmtId="0">
      <sharedItems containsSemiMixedTypes="0" containsString="0" containsNumber="1" minValue="0" maxValue="296.1397"/>
    </cacheField>
    <cacheField name="Utilization%" numFmtId="0">
      <sharedItems containsSemiMixedTypes="0" containsString="0" containsNumber="1" minValue="0.758752477116165" maxValue="0.96287854119179395"/>
    </cacheField>
    <cacheField name="Utilization Rev" numFmtId="0">
      <sharedItems containsSemiMixedTypes="0" containsString="0" containsNumber="1" minValue="0" maxValue="384.5"/>
    </cacheField>
    <cacheField name="Driver Tips" numFmtId="0">
      <sharedItems containsSemiMixedTypes="0" containsString="0" containsNumber="1" minValue="13.99" maxValue="232.44"/>
    </cacheField>
    <cacheField name="Tolls" numFmtId="0">
      <sharedItems containsSemiMixedTypes="0" containsString="0" containsNumber="1" minValue="0" maxValue="9.65"/>
    </cacheField>
    <cacheField name="CHI Non-KPI" numFmtId="0">
      <sharedItems containsSemiMixedTypes="0" containsString="0" containsNumber="1" minValue="0" maxValue="1207.52"/>
    </cacheField>
    <cacheField name="Total Rev" numFmtId="0">
      <sharedItems containsSemiMixedTypes="0" containsString="0" containsNumber="1" minValue="784.65" maxValue="7461.18"/>
    </cacheField>
    <cacheField name="Payable Online Hours" numFmtId="0">
      <sharedItems containsSemiMixedTypes="0" containsString="0" containsNumber="1" minValue="30.709999999999997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7"/>
    </cacheField>
    <cacheField name="Tier 1 ARDCRI KPI" numFmtId="0">
      <sharedItems containsSemiMixedTypes="0" containsString="0" containsNumber="1" minValue="0" maxValue="210"/>
    </cacheField>
    <cacheField name="Tier 2 ARDCRI KPI" numFmtId="0">
      <sharedItems containsSemiMixedTypes="0" containsString="0" containsNumber="1" minValue="0" maxValue="176.70999999999998"/>
    </cacheField>
    <cacheField name="Total ARDCRI KPI Rev" numFmtId="0">
      <sharedItems containsSemiMixedTypes="0" containsString="0" containsNumber="1" minValue="0" maxValue="730.1"/>
    </cacheField>
    <cacheField name="Approved Extra Hours" numFmtId="0">
      <sharedItems containsSemiMixedTypes="0" containsString="0" containsNumber="1" containsInteger="1" minValue="0" maxValue="7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unt="5">
        <s v="BEYOND EXPRESS"/>
        <s v="DIRECT TRANSIT LLC"/>
        <s v="CIRCLE TRANSIT"/>
        <s v="DEAN LOGISTICS SOLUTIONS LLC"/>
        <s v="Q-TELL TRANSIT LLC"/>
      </sharedItems>
    </cacheField>
    <cacheField name="Total Comp Trips" numFmtId="0">
      <sharedItems containsSemiMixedTypes="0" containsString="0" containsNumber="1" containsInteger="1" minValue="70" maxValue="455"/>
    </cacheField>
    <cacheField name="Total Supply Hours" numFmtId="0">
      <sharedItems containsSemiMixedTypes="0" containsString="0" containsNumber="1" minValue="30.72" maxValue="223.33"/>
    </cacheField>
    <cacheField name="Paused Hours" numFmtId="0">
      <sharedItems containsSemiMixedTypes="0" containsString="0" containsNumber="1" minValue="0" maxValue="6.3599999999999994"/>
    </cacheField>
    <cacheField name="WAV Trips" numFmtId="0">
      <sharedItems containsSemiMixedTypes="0" containsString="0" containsNumber="1" containsInteger="1" minValue="0" maxValue="34"/>
    </cacheField>
    <cacheField name="Non WAV Trips" numFmtId="0">
      <sharedItems containsSemiMixedTypes="0" containsString="0" containsNumber="1" containsInteger="1" minValue="70" maxValue="455"/>
    </cacheField>
    <cacheField name="Utilized Hours" numFmtId="0">
      <sharedItems containsSemiMixedTypes="0" containsString="0" containsNumber="1" minValue="29.57" maxValue="192.89"/>
    </cacheField>
    <cacheField name="Open Hours" numFmtId="0">
      <sharedItems containsSemiMixedTypes="0" containsString="0" containsNumber="1" minValue="1.1399999999999999" maxValue="51.14"/>
    </cacheField>
    <cacheField name="Core Total Supply Hours" numFmtId="0">
      <sharedItems containsSemiMixedTypes="0" containsString="0" containsNumber="1" minValue="0.99" maxValue="79.13"/>
    </cacheField>
    <cacheField name="Core Utilized Hours" numFmtId="0">
      <sharedItems containsSemiMixedTypes="0" containsString="0" containsNumber="1" minValue="0.99" maxValue="68.760000000000005"/>
    </cacheField>
    <cacheField name="Trips Per Hours" numFmtId="0">
      <sharedItems containsSemiMixedTypes="0" containsString="0" containsNumber="1" minValue="2.12" maxValue="14.52"/>
    </cacheField>
    <cacheField name="Total Accepts" numFmtId="0">
      <sharedItems containsSemiMixedTypes="0" containsString="0" containsNumber="1" containsInteger="1" minValue="80" maxValue="540"/>
    </cacheField>
    <cacheField name="Total Rejects" numFmtId="0">
      <sharedItems containsSemiMixedTypes="0" containsString="0" containsNumber="1" containsInteger="1" minValue="0" maxValue="12"/>
    </cacheField>
    <cacheField name="Total Cancels" numFmtId="0">
      <sharedItems containsSemiMixedTypes="0" containsString="0" containsNumber="1" containsInteger="1" minValue="1" maxValue="15"/>
    </cacheField>
    <cacheField name="KPI Hours" numFmtId="0">
      <sharedItems containsSemiMixedTypes="0" containsString="0" containsNumber="1" minValue="0" maxValue="180.41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Bonus Hours" numFmtId="0">
      <sharedItems containsSemiMixedTypes="0" containsString="0" containsNumber="1" containsInteger="1" minValue="20" maxValue="40"/>
    </cacheField>
    <cacheField name="ARDCRI Non KPI" numFmtId="0">
      <sharedItems containsSemiMixedTypes="0" containsString="0" containsNumber="1" minValue="0" maxValue="220"/>
    </cacheField>
    <cacheField name="Driver Earnings Excl Tips" numFmtId="0">
      <sharedItems containsSemiMixedTypes="0" containsString="0" containsNumber="1" minValue="770.65999999999894" maxValue="4822.0999999999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1"/>
    <n v="1022.125"/>
    <n v="0"/>
    <n v="314.5"/>
    <n v="0"/>
    <n v="0"/>
    <n v="1"/>
    <n v="2.04081632653061E-2"/>
    <n v="157.25"/>
    <n v="0"/>
    <n v="0.92584449330401797"/>
    <n v="78.625"/>
    <n v="59"/>
    <n v="0"/>
    <n v="0"/>
    <n v="1631.5"/>
    <n v="50"/>
    <n v="50"/>
    <n v="314.5"/>
    <n v="0"/>
    <n v="50"/>
    <n v="0"/>
    <n v="157.25"/>
    <n v="0"/>
    <d v="2024-12-02T00:00:00"/>
    <x v="0"/>
    <n v="131"/>
    <n v="50.03"/>
    <n v="0"/>
    <n v="0"/>
    <n v="131"/>
    <n v="46.32"/>
    <n v="3.71"/>
    <n v="0.99"/>
    <n v="0.99"/>
    <n v="2.62"/>
    <n v="147"/>
    <n v="0"/>
    <n v="3"/>
    <n v="50.03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1228.3800000000001"/>
  </r>
  <r>
    <x v="0"/>
    <n v="220"/>
    <x v="1"/>
    <x v="1"/>
    <x v="1"/>
    <n v="0.96336363636363598"/>
    <n v="2866.5"/>
    <n v="1917.201"/>
    <n v="0"/>
    <n v="735.95400000000018"/>
    <n v="0"/>
    <n v="0.70104895104895104"/>
    <n v="4.9875311720698201E-3"/>
    <n v="0"/>
    <n v="0"/>
    <n v="0.758752477116165"/>
    <n v="367.97699999999998"/>
    <n v="180.33"/>
    <n v="9.65"/>
    <n v="0"/>
    <n v="6077.6120000000001"/>
    <n v="211.94000000000003"/>
    <n v="220"/>
    <n v="735.95399999999995"/>
    <n v="167"/>
    <n v="0"/>
    <n v="0"/>
    <n v="0"/>
    <n v="0"/>
    <d v="2024-12-02T00:00:00"/>
    <x v="1"/>
    <n v="359"/>
    <n v="212.95"/>
    <n v="1.01"/>
    <n v="11"/>
    <n v="348"/>
    <n v="160.81"/>
    <n v="51.14"/>
    <n v="67.63"/>
    <n v="53.99"/>
    <n v="11.479999999999999"/>
    <n v="401"/>
    <n v="4"/>
    <n v="2"/>
    <n v="102.50999999999999"/>
    <m/>
    <n v="0.1"/>
    <n v="0.05"/>
    <n v="0.7"/>
    <n v="31.5"/>
    <n v="41"/>
    <n v="0.65"/>
    <n v="0.98"/>
    <n v="0.96"/>
    <n v="0.94"/>
    <n v="0.2"/>
    <n v="0.1"/>
    <n v="0.05"/>
    <n v="0.05"/>
    <n v="140"/>
    <n v="20"/>
    <n v="211.94000000000003"/>
    <n v="3774.3399999999879"/>
  </r>
  <r>
    <x v="0"/>
    <n v="180"/>
    <x v="2"/>
    <x v="1"/>
    <x v="2"/>
    <n v="0.98172222222222205"/>
    <n v="2861.95"/>
    <n v="987.86609999999996"/>
    <n v="1184.5587999999998"/>
    <n v="0"/>
    <n v="0"/>
    <n v="0.97883597883597895"/>
    <n v="4.0540540540540501E-2"/>
    <n v="0"/>
    <n v="296.1397"/>
    <n v="0.89598777658310202"/>
    <n v="296.1397"/>
    <n v="187.51"/>
    <n v="3"/>
    <n v="0"/>
    <n v="5817.1643000000004"/>
    <n v="176.70999999999998"/>
    <n v="180"/>
    <n v="1184.5588"/>
    <n v="7"/>
    <n v="0"/>
    <n v="176.70999999999998"/>
    <n v="296.1397"/>
    <n v="0"/>
    <d v="2024-12-02T00:00:00"/>
    <x v="2"/>
    <n v="335"/>
    <n v="183.07"/>
    <n v="6.3599999999999994"/>
    <n v="5"/>
    <n v="330"/>
    <n v="158.32999999999998"/>
    <n v="18.36"/>
    <n v="79.13"/>
    <n v="67.59"/>
    <n v="12.69"/>
    <n v="370"/>
    <n v="1"/>
    <n v="15"/>
    <n v="101.28999999999999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022.1899999999973"/>
  </r>
  <r>
    <x v="0"/>
    <n v="80"/>
    <x v="3"/>
    <x v="2"/>
    <x v="0"/>
    <n v="0.56799999999999995"/>
    <n v="0"/>
    <n v="0"/>
    <n v="0"/>
    <n v="0"/>
    <n v="0"/>
    <n v="0.89781021897810198"/>
    <n v="3.2520325203252001E-2"/>
    <n v="0"/>
    <n v="0"/>
    <n v="0.95664612676056304"/>
    <n v="0"/>
    <n v="32.450000000000003"/>
    <n v="0"/>
    <n v="1207.52"/>
    <n v="1239.97"/>
    <n v="45.440000000000005"/>
    <n v="80"/>
    <n v="0"/>
    <n v="2"/>
    <n v="0"/>
    <n v="0"/>
    <n v="0"/>
    <n v="0"/>
    <d v="2024-12-02T00:00:00"/>
    <x v="3"/>
    <n v="107"/>
    <n v="45.45"/>
    <n v="0.01"/>
    <n v="0"/>
    <n v="107"/>
    <n v="43.47"/>
    <n v="1.97"/>
    <n v="22.36"/>
    <n v="21.54"/>
    <n v="2.35"/>
    <n v="123"/>
    <n v="12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45.440000000000005"/>
    <n v="1207.52"/>
  </r>
  <r>
    <x v="0"/>
    <n v="97"/>
    <x v="4"/>
    <x v="3"/>
    <x v="3"/>
    <n v="1"/>
    <n v="1430.9749999999999"/>
    <n v="719.57339999999999"/>
    <n v="661.70719999999994"/>
    <n v="0"/>
    <n v="0"/>
    <n v="0.95945945945945899"/>
    <n v="1.8779342723004699E-2"/>
    <n v="330.85359999999997"/>
    <n v="0"/>
    <n v="0.82933636551581602"/>
    <n v="165.42679999999999"/>
    <n v="113.46"/>
    <n v="0"/>
    <n v="0"/>
    <n v="3421.9960000000001"/>
    <n v="96.74"/>
    <n v="90"/>
    <n v="661.70719999999994"/>
    <n v="7"/>
    <n v="96.74"/>
    <n v="0"/>
    <n v="330.85359999999997"/>
    <n v="7"/>
    <d v="2024-12-02T00:00:00"/>
    <x v="4"/>
    <n v="190"/>
    <n v="98.14"/>
    <n v="1.4000000000000001"/>
    <n v="0"/>
    <n v="190"/>
    <n v="80.22999999999999"/>
    <n v="16.509999999999998"/>
    <n v="31.1"/>
    <n v="27.03"/>
    <n v="3.9000000000000004"/>
    <n v="213"/>
    <n v="2"/>
    <n v="4"/>
    <n v="49.949999999999996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2063.7399999999998"/>
  </r>
  <r>
    <x v="1"/>
    <n v="50"/>
    <x v="5"/>
    <x v="4"/>
    <x v="0"/>
    <n v="0.80320000000000003"/>
    <n v="0"/>
    <n v="0"/>
    <n v="0"/>
    <n v="0"/>
    <n v="0"/>
    <n v="1"/>
    <n v="2.02020202020202E-2"/>
    <n v="0"/>
    <n v="0"/>
    <n v="0.96140438247011994"/>
    <n v="0"/>
    <n v="52.02"/>
    <n v="0"/>
    <n v="957.72"/>
    <n v="1009.74"/>
    <n v="40.159999999999997"/>
    <n v="50"/>
    <n v="0"/>
    <n v="0"/>
    <n v="40.159999999999997"/>
    <n v="0"/>
    <n v="0"/>
    <n v="0"/>
    <d v="2024-12-09T00:00:00"/>
    <x v="0"/>
    <n v="85"/>
    <n v="40.159999999999997"/>
    <n v="0"/>
    <n v="0"/>
    <n v="85"/>
    <n v="38.61"/>
    <n v="1.54"/>
    <n v="1.3"/>
    <n v="1.3"/>
    <n v="2.12"/>
    <n v="99"/>
    <n v="0"/>
    <n v="2"/>
    <n v="40.15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957.72"/>
  </r>
  <r>
    <x v="1"/>
    <n v="220"/>
    <x v="6"/>
    <x v="1"/>
    <x v="4"/>
    <n v="1"/>
    <n v="2866.5"/>
    <n v="2132"/>
    <n v="1538.0000000000002"/>
    <n v="0"/>
    <n v="0"/>
    <n v="0.822784810126582"/>
    <n v="1.75824175824176E-2"/>
    <n v="0"/>
    <n v="0"/>
    <n v="0.79353099730458199"/>
    <n v="384.5"/>
    <n v="232.44"/>
    <n v="0"/>
    <n v="0"/>
    <n v="7153.44"/>
    <n v="220"/>
    <n v="220"/>
    <n v="1538"/>
    <n v="86"/>
    <n v="0"/>
    <n v="0"/>
    <n v="0"/>
    <n v="0"/>
    <d v="2024-12-09T00:00:00"/>
    <x v="1"/>
    <n v="388"/>
    <n v="223.33"/>
    <n v="0.73"/>
    <n v="34"/>
    <n v="354"/>
    <n v="176.64000000000001"/>
    <n v="45.949999999999996"/>
    <n v="66.650000000000006"/>
    <n v="54.78"/>
    <n v="12.44"/>
    <n v="455"/>
    <n v="12"/>
    <n v="8"/>
    <n v="98.31"/>
    <m/>
    <n v="0.1"/>
    <n v="0.05"/>
    <n v="0.7"/>
    <n v="31.5"/>
    <n v="41"/>
    <n v="0.65"/>
    <n v="0.98"/>
    <n v="0.96"/>
    <n v="0.94"/>
    <n v="0.2"/>
    <n v="0.1"/>
    <n v="0.05"/>
    <n v="0.05"/>
    <n v="140"/>
    <n v="40"/>
    <n v="220"/>
    <n v="3937.4599999999991"/>
  </r>
  <r>
    <x v="1"/>
    <n v="210"/>
    <x v="7"/>
    <x v="1"/>
    <x v="5"/>
    <n v="1"/>
    <n v="2861.95"/>
    <n v="1883.7"/>
    <n v="1460.1999999999998"/>
    <n v="0"/>
    <n v="0"/>
    <n v="0.990825688073394"/>
    <n v="2.03703703703704E-2"/>
    <n v="730.1"/>
    <n v="0"/>
    <n v="0.91791186827828997"/>
    <n v="365.05"/>
    <n v="160.18"/>
    <n v="0"/>
    <n v="0"/>
    <n v="7461.18"/>
    <n v="210"/>
    <n v="210"/>
    <n v="1460.2"/>
    <n v="5"/>
    <n v="210"/>
    <n v="0"/>
    <n v="730.1"/>
    <n v="0"/>
    <d v="2024-12-09T00:00:00"/>
    <x v="2"/>
    <n v="455"/>
    <n v="210.45"/>
    <n v="0.31000000000000005"/>
    <n v="0"/>
    <n v="455"/>
    <n v="192.89"/>
    <n v="17.25"/>
    <n v="79.070000000000007"/>
    <n v="68.760000000000005"/>
    <n v="14.52"/>
    <n v="540"/>
    <n v="0"/>
    <n v="11"/>
    <n v="180.41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822.0999999999885"/>
  </r>
  <r>
    <x v="1"/>
    <n v="60"/>
    <x v="8"/>
    <x v="5"/>
    <x v="0"/>
    <n v="0.51183333333333303"/>
    <n v="0"/>
    <n v="0"/>
    <n v="0"/>
    <n v="0"/>
    <n v="0"/>
    <n v="1"/>
    <n v="1.2500000000000001E-2"/>
    <n v="0"/>
    <n v="0"/>
    <n v="0.96287854119179395"/>
    <n v="0"/>
    <n v="13.99"/>
    <n v="0"/>
    <n v="770.65999999999894"/>
    <n v="784.65"/>
    <n v="30.709999999999997"/>
    <n v="60"/>
    <n v="0"/>
    <n v="0"/>
    <n v="30.709999999999997"/>
    <n v="0"/>
    <n v="0"/>
    <n v="0"/>
    <d v="2024-12-09T00:00:00"/>
    <x v="3"/>
    <n v="70"/>
    <n v="30.72"/>
    <n v="0.01"/>
    <n v="0"/>
    <n v="70"/>
    <n v="29.57"/>
    <n v="1.1399999999999999"/>
    <n v="13.99"/>
    <n v="13.67"/>
    <n v="2.2799999999999998"/>
    <n v="80"/>
    <n v="0"/>
    <n v="1"/>
    <n v="30.70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770.65999999999894"/>
  </r>
  <r>
    <x v="1"/>
    <n v="100"/>
    <x v="9"/>
    <x v="6"/>
    <x v="0"/>
    <n v="0.55010000000000003"/>
    <n v="0"/>
    <n v="0"/>
    <n v="0"/>
    <n v="0"/>
    <n v="0"/>
    <n v="0.76510067114094005"/>
    <n v="8.7719298245613996E-3"/>
    <n v="0"/>
    <n v="0"/>
    <n v="0.87656789674604596"/>
    <n v="0"/>
    <n v="30.57"/>
    <n v="0"/>
    <n v="1173.5299999999991"/>
    <n v="1204.0999999999999"/>
    <n v="55.01"/>
    <n v="100"/>
    <n v="0"/>
    <n v="26"/>
    <n v="0"/>
    <n v="0"/>
    <n v="0"/>
    <n v="0"/>
    <d v="2024-12-09T00:00:00"/>
    <x v="4"/>
    <n v="99"/>
    <n v="61.01"/>
    <n v="6"/>
    <n v="3"/>
    <n v="96"/>
    <n v="48.22"/>
    <n v="6.79"/>
    <n v="22.29"/>
    <n v="17.53"/>
    <n v="4.74"/>
    <n v="114"/>
    <n v="9"/>
    <n v="1"/>
    <n v="27.81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55.01"/>
    <n v="1173.52999999999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228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3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m="1" x="19"/>
        <item m="1" x="14"/>
        <item m="1" x="16"/>
        <item m="1" x="11"/>
        <item m="1" x="15"/>
        <item m="1" x="20"/>
        <item m="1" x="17"/>
        <item m="1" x="12"/>
        <item m="1" x="18"/>
        <item m="1" x="13"/>
        <item x="0"/>
        <item x="1"/>
        <item x="2"/>
        <item x="3"/>
        <item x="4"/>
        <item x="5"/>
        <item x="6"/>
        <item x="7"/>
        <item x="8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1"/>
        <item m="1" x="10"/>
        <item x="0"/>
        <item m="1" x="9"/>
        <item x="3"/>
        <item x="1"/>
        <item m="1" x="7"/>
        <item x="2"/>
        <item x="4"/>
        <item x="5"/>
        <item m="1"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m="1" x="11"/>
        <item m="1" x="14"/>
        <item m="1" x="12"/>
        <item m="1" x="8"/>
        <item m="1" x="13"/>
        <item m="1" x="10"/>
        <item m="1" x="9"/>
        <item x="1"/>
        <item x="2"/>
        <item m="1" x="7"/>
        <item x="4"/>
        <item m="1"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10"/>
      <x v="2"/>
      <x/>
    </i>
    <i r="1">
      <x v="1"/>
      <x v="15"/>
      <x v="8"/>
      <x/>
    </i>
    <i>
      <x v="1"/>
      <x/>
      <x v="12"/>
      <x v="5"/>
      <x v="9"/>
    </i>
    <i r="1">
      <x v="1"/>
      <x v="17"/>
      <x v="5"/>
      <x v="13"/>
    </i>
    <i>
      <x v="2"/>
      <x/>
      <x v="13"/>
      <x v="7"/>
      <x/>
    </i>
    <i r="1">
      <x v="1"/>
      <x v="18"/>
      <x v="9"/>
      <x/>
    </i>
    <i>
      <x v="3"/>
      <x/>
      <x v="11"/>
      <x v="5"/>
      <x v="8"/>
    </i>
    <i r="1">
      <x v="1"/>
      <x v="16"/>
      <x v="5"/>
      <x v="11"/>
    </i>
    <i>
      <x v="4"/>
      <x/>
      <x v="14"/>
      <x v="4"/>
      <x v="14"/>
    </i>
    <i r="1">
      <x v="1"/>
      <x v="20"/>
      <x v="11"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3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1" dataDxfId="30">
  <tableColumns count="9">
    <tableColumn id="1" xr3:uid="{6E8F3551-4DCE-46CE-BD28-51A8302E87CB}" name="Type" dataDxfId="29"/>
    <tableColumn id="2" xr3:uid="{5404B4C5-ECEF-4C1F-8A18-BC9D8BE1C71B}" name="Start" dataDxfId="28"/>
    <tableColumn id="3" xr3:uid="{ED569C2B-A42E-43C5-A2F6-A3987EE52677}" name="End" dataDxfId="27"/>
    <tableColumn id="8" xr3:uid="{7528310C-79CF-4C2C-A6A6-945EB7C53D6F}" name="Week#" dataDxfId="26"/>
    <tableColumn id="9" xr3:uid="{F2617BD1-87E6-401A-9CEE-DF2A049276C1}" name="Per Normal Hour" dataDxfId="25"/>
    <tableColumn id="10" xr3:uid="{6AF37710-9F7B-4387-9CC2-103D69851C62}" name="Per Bonus Hour" dataDxfId="24"/>
    <tableColumn id="6" xr3:uid="{AE3F7AE3-B9B7-4FBD-BECC-F855DB3120A1}" name="Utilization Target" dataDxfId="23"/>
    <tableColumn id="4" xr3:uid="{76EDF2B3-48C2-41BC-8C8B-1E1DA27282E5}" name="Tier 1 ARDCRI Rate" dataDxfId="22" dataCellStyle="Percent"/>
    <tableColumn id="5" xr3:uid="{623BF9A5-9791-48A7-A063-0FCE89090301}" name="Tier 2 ARDCRI Rate" dataDxfId="21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20"/>
    <tableColumn id="7" xr3:uid="{6391F556-8AFE-459C-94D5-77F89EDE79EE}" uniqueName="7" name="UNIT" queryTableFieldId="16" dataDxfId="19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8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40" tableType="queryTable" totalsRowShown="0">
  <autoFilter ref="A1:AK40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40">
    <sortCondition ref="M1:M40"/>
  </sortState>
  <tableColumns count="37">
    <tableColumn id="1" xr3:uid="{2DF377BE-88DC-4F51-A0C3-719C6FB3A4E6}" uniqueName="1" name="Week" queryTableFieldId="1" dataDxfId="17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K11" tableType="queryTable" totalsRowShown="0">
  <autoFilter ref="A1:BK11" xr:uid="{DE01B30A-39AF-4694-BB2D-3D7EA17167B1}"/>
  <tableColumns count="63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3" tableType="queryTable" totalsRowShown="0">
  <autoFilter ref="A1:G3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8671875" defaultRowHeight="14.4" x14ac:dyDescent="0.3"/>
  <cols>
    <col min="1" max="16384" width="8.88671875" style="32"/>
  </cols>
  <sheetData>
    <row r="3" spans="1:10" ht="15.6" x14ac:dyDescent="0.3">
      <c r="F3" s="92"/>
    </row>
    <row r="5" spans="1:10" ht="18" x14ac:dyDescent="0.3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2" sqref="C2"/>
    </sheetView>
  </sheetViews>
  <sheetFormatPr defaultRowHeight="14.4" x14ac:dyDescent="0.3"/>
  <cols>
    <col min="1" max="1" width="2.33203125" customWidth="1"/>
    <col min="2" max="2" width="18.6640625" customWidth="1"/>
    <col min="3" max="4" width="17" style="61" customWidth="1"/>
    <col min="5" max="5" width="12.33203125" customWidth="1"/>
    <col min="6" max="6" width="19" style="54" bestFit="1" customWidth="1"/>
    <col min="7" max="7" width="17.33203125" style="54" customWidth="1"/>
    <col min="8" max="8" width="19.5546875" style="73" bestFit="1" customWidth="1"/>
    <col min="9" max="10" width="19.5546875" style="54" bestFit="1" customWidth="1"/>
  </cols>
  <sheetData>
    <row r="1" spans="2:10" ht="18" x14ac:dyDescent="0.3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" x14ac:dyDescent="0.3">
      <c r="B2" s="59" t="s">
        <v>11</v>
      </c>
      <c r="C2" s="60">
        <v>45628</v>
      </c>
      <c r="D2" s="60">
        <f>+C2+6</f>
        <v>45634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" x14ac:dyDescent="0.3">
      <c r="B3" s="59" t="s">
        <v>11</v>
      </c>
      <c r="C3" s="60">
        <v>45635</v>
      </c>
      <c r="D3" s="60">
        <f>+C3+6</f>
        <v>45641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4.4" x14ac:dyDescent="0.3"/>
  <cols>
    <col min="1" max="1" width="33.88671875" bestFit="1" customWidth="1"/>
    <col min="2" max="2" width="7.6640625" bestFit="1" customWidth="1"/>
    <col min="3" max="3" width="16.5546875" bestFit="1" customWidth="1"/>
    <col min="4" max="4" width="12" bestFit="1" customWidth="1"/>
    <col min="5" max="5" width="18.44140625" bestFit="1" customWidth="1"/>
    <col min="6" max="6" width="13.44140625" bestFit="1" customWidth="1"/>
    <col min="7" max="7" width="11.44140625" bestFit="1" customWidth="1"/>
    <col min="8" max="8" width="15.5546875" bestFit="1" customWidth="1"/>
    <col min="9" max="9" width="8.6640625" bestFit="1" customWidth="1"/>
    <col min="10" max="10" width="17.6640625" bestFit="1" customWidth="1"/>
    <col min="11" max="11" width="7.44140625" bestFit="1" customWidth="1"/>
    <col min="12" max="12" width="16.6640625" bestFit="1" customWidth="1"/>
    <col min="13" max="13" width="16.5546875" bestFit="1" customWidth="1"/>
    <col min="14" max="14" width="19" bestFit="1" customWidth="1"/>
    <col min="15" max="15" width="18.5546875" bestFit="1" customWidth="1"/>
    <col min="16" max="16" width="13.44140625" bestFit="1" customWidth="1"/>
    <col min="17" max="17" width="16.44140625" bestFit="1" customWidth="1"/>
    <col min="18" max="18" width="13.44140625" bestFit="1" customWidth="1"/>
    <col min="19" max="19" width="16.44140625" bestFit="1" customWidth="1"/>
    <col min="20" max="20" width="14.109375" bestFit="1" customWidth="1"/>
    <col min="21" max="21" width="16.44140625" bestFit="1" customWidth="1"/>
    <col min="22" max="22" width="16.44140625" customWidth="1"/>
    <col min="23" max="23" width="8.44140625" bestFit="1" customWidth="1"/>
    <col min="24" max="24" width="17.109375" bestFit="1" customWidth="1"/>
  </cols>
  <sheetData>
    <row r="1" spans="1:17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3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3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3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0</v>
      </c>
      <c r="I4">
        <v>0</v>
      </c>
      <c r="J4">
        <v>112.4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3">
      <c r="A5" t="s">
        <v>37</v>
      </c>
      <c r="B5" t="s">
        <v>39</v>
      </c>
      <c r="C5">
        <v>309</v>
      </c>
      <c r="D5">
        <v>2</v>
      </c>
      <c r="E5">
        <v>618</v>
      </c>
      <c r="G5">
        <v>500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500</v>
      </c>
    </row>
    <row r="6" spans="1:17" x14ac:dyDescent="0.3">
      <c r="A6" t="s">
        <v>37</v>
      </c>
      <c r="B6" t="s">
        <v>40</v>
      </c>
      <c r="C6">
        <v>309</v>
      </c>
      <c r="D6">
        <v>2</v>
      </c>
      <c r="E6">
        <v>618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0</v>
      </c>
    </row>
    <row r="7" spans="1:17" x14ac:dyDescent="0.3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3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3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x14ac:dyDescent="0.3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3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0</v>
      </c>
      <c r="H11">
        <v>0</v>
      </c>
      <c r="I11">
        <v>0</v>
      </c>
      <c r="J11">
        <v>60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0</v>
      </c>
    </row>
    <row r="12" spans="1:17" x14ac:dyDescent="0.3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4.9000000000000004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3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3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3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3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3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3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3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3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3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3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0</v>
      </c>
      <c r="H22">
        <v>0</v>
      </c>
      <c r="I22">
        <v>0</v>
      </c>
      <c r="J22">
        <v>6.6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0</v>
      </c>
    </row>
    <row r="23" spans="1:17" x14ac:dyDescent="0.3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3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3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3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="80" zoomScaleNormal="80" workbookViewId="0">
      <pane ySplit="4" topLeftCell="A5" activePane="bottomLeft" state="frozen"/>
      <selection pane="bottomLeft" activeCell="F24" sqref="F24"/>
    </sheetView>
  </sheetViews>
  <sheetFormatPr defaultColWidth="9.33203125" defaultRowHeight="15" customHeight="1" x14ac:dyDescent="0.3"/>
  <cols>
    <col min="1" max="1" width="32.6640625" style="46" bestFit="1" customWidth="1"/>
    <col min="2" max="2" width="6.6640625" style="53" bestFit="1" customWidth="1"/>
    <col min="3" max="3" width="32.33203125" style="32" customWidth="1"/>
    <col min="4" max="4" width="13.33203125" style="32" customWidth="1"/>
    <col min="5" max="5" width="16.33203125" style="32" bestFit="1" customWidth="1"/>
    <col min="6" max="8" width="13.33203125" style="32" customWidth="1"/>
    <col min="9" max="9" width="14.5546875" style="32" customWidth="1"/>
    <col min="10" max="10" width="13.6640625" style="32" bestFit="1" customWidth="1"/>
    <col min="11" max="11" width="13.44140625" style="32" bestFit="1" customWidth="1"/>
    <col min="12" max="14" width="13.44140625" style="32" customWidth="1"/>
    <col min="15" max="15" width="14" style="32" bestFit="1" customWidth="1"/>
    <col min="16" max="16" width="15.6640625" style="32" bestFit="1" customWidth="1"/>
    <col min="17" max="17" width="17.44140625" style="33" customWidth="1"/>
    <col min="18" max="19" width="0" style="32" hidden="1" customWidth="1"/>
    <col min="20" max="16384" width="9.33203125" style="32"/>
  </cols>
  <sheetData>
    <row r="1" spans="1:21" ht="15.6" x14ac:dyDescent="0.3">
      <c r="A1" s="30" t="s">
        <v>369</v>
      </c>
      <c r="B1" s="31"/>
      <c r="C1" s="31"/>
    </row>
    <row r="2" spans="1:21" ht="18" x14ac:dyDescent="0.35">
      <c r="A2" s="30"/>
      <c r="B2" s="31"/>
      <c r="C2" s="31"/>
      <c r="D2" s="98" t="s">
        <v>71</v>
      </c>
      <c r="E2" s="98"/>
      <c r="F2" s="98"/>
      <c r="G2" s="98"/>
      <c r="H2" s="98"/>
      <c r="I2" s="98"/>
      <c r="J2" s="99" t="s">
        <v>72</v>
      </c>
      <c r="K2" s="99"/>
      <c r="L2" s="99"/>
      <c r="M2" s="99"/>
      <c r="N2" s="99"/>
      <c r="O2" s="99"/>
      <c r="P2" s="99"/>
    </row>
    <row r="3" spans="1:21" ht="15.6" x14ac:dyDescent="0.3">
      <c r="A3" s="30"/>
      <c r="B3" s="31"/>
      <c r="C3" s="31"/>
      <c r="D3" s="101" t="s">
        <v>73</v>
      </c>
      <c r="E3" s="101"/>
      <c r="F3" s="101" t="s">
        <v>74</v>
      </c>
      <c r="G3" s="101"/>
      <c r="H3" s="101"/>
      <c r="I3" s="101"/>
      <c r="J3" s="35"/>
      <c r="O3" s="35"/>
      <c r="P3" s="35"/>
      <c r="Q3" s="36" t="s">
        <v>75</v>
      </c>
    </row>
    <row r="4" spans="1:21" s="34" customFormat="1" thickBot="1" x14ac:dyDescent="0.35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45">
      <c r="A5" s="100" t="s">
        <v>36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</row>
    <row r="6" spans="1:21" ht="14.4" x14ac:dyDescent="0.3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13231.052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64.900000000000006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12067.951999999999</v>
      </c>
      <c r="U6" s="89"/>
    </row>
    <row r="7" spans="1:21" ht="14.4" x14ac:dyDescent="0.3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4626.0959999999995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6.6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0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4172.1959999999999</v>
      </c>
      <c r="U7" s="89"/>
    </row>
    <row r="8" spans="1:21" ht="14.4" x14ac:dyDescent="0.3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13278.344300000001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112.4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500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11654.7443</v>
      </c>
      <c r="U8" s="89"/>
    </row>
    <row r="9" spans="1:21" ht="14.4" x14ac:dyDescent="0.3">
      <c r="A9" s="46" t="str">
        <v>DEAN LOGISTICS SOLUTIONS LLC</v>
      </c>
      <c r="B9" s="53">
        <v>2555</v>
      </c>
      <c r="C9" s="40" t="str">
        <v>stevelawr63@gmail.com</v>
      </c>
      <c r="D9" s="41">
        <f>IFERROR(SUMIF(SumVDPMVReport[PARTNER NAME],$A9,SumVDPMVReport[Total Rev]),0)</f>
        <v>2024.62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1406.62</v>
      </c>
      <c r="U9" s="89"/>
    </row>
    <row r="10" spans="1:21" ht="14.4" x14ac:dyDescent="0.3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2641.24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2023.2399999999998</v>
      </c>
      <c r="U10" s="89"/>
    </row>
    <row r="11" spans="1:21" ht="14.4" x14ac:dyDescent="0.3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ht="14.4" x14ac:dyDescent="0.3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ht="14.4" x14ac:dyDescent="0.3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ht="14.4" x14ac:dyDescent="0.3">
      <c r="D14" s="47">
        <f>SUM(D6:D13)</f>
        <v>35801.352299999999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183.9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500</v>
      </c>
      <c r="P14" s="47">
        <f t="shared" si="1"/>
        <v>0</v>
      </c>
      <c r="Q14" s="47">
        <f t="shared" si="1"/>
        <v>31324.7523</v>
      </c>
    </row>
    <row r="17" spans="1:20" ht="15.6" x14ac:dyDescent="0.3">
      <c r="D17" s="48">
        <f>D14</f>
        <v>35801.352299999999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183.9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500</v>
      </c>
      <c r="P17" s="48">
        <f t="shared" si="2"/>
        <v>0</v>
      </c>
      <c r="Q17" s="48">
        <f t="shared" si="2"/>
        <v>31324.7523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3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3">
      <c r="T27" s="45"/>
    </row>
    <row r="28" spans="1:20" ht="15" customHeight="1" x14ac:dyDescent="0.3">
      <c r="T28" s="45"/>
    </row>
    <row r="29" spans="1:20" ht="15" customHeight="1" x14ac:dyDescent="0.3">
      <c r="T29" s="45"/>
    </row>
    <row r="30" spans="1:20" ht="15" customHeight="1" x14ac:dyDescent="0.3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4.4" x14ac:dyDescent="0.3"/>
  <cols>
    <col min="1" max="1" width="15.5546875" customWidth="1"/>
    <col min="3" max="3" width="5.6640625" bestFit="1" customWidth="1"/>
    <col min="4" max="4" width="11.88671875" customWidth="1"/>
    <col min="5" max="5" width="18.5546875" customWidth="1"/>
    <col min="6" max="6" width="11.33203125" bestFit="1" customWidth="1"/>
    <col min="7" max="7" width="13.88671875" bestFit="1" customWidth="1"/>
    <col min="8" max="8" width="12.109375" bestFit="1" customWidth="1"/>
    <col min="9" max="9" width="10.6640625" bestFit="1" customWidth="1"/>
    <col min="10" max="10" width="9.109375" bestFit="1" customWidth="1"/>
    <col min="11" max="11" width="13.88671875" bestFit="1" customWidth="1"/>
    <col min="12" max="12" width="8.44140625" customWidth="1"/>
    <col min="13" max="13" width="11.6640625" bestFit="1" customWidth="1"/>
    <col min="14" max="14" width="8.6640625" bestFit="1" customWidth="1"/>
    <col min="15" max="15" width="8.33203125" bestFit="1" customWidth="1"/>
    <col min="16" max="16" width="15.33203125" bestFit="1" customWidth="1"/>
    <col min="17" max="17" width="13.109375" bestFit="1" customWidth="1"/>
    <col min="18" max="18" width="17.6640625" bestFit="1" customWidth="1"/>
    <col min="19" max="19" width="18.5546875" customWidth="1"/>
  </cols>
  <sheetData>
    <row r="1" spans="1:18" x14ac:dyDescent="0.3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3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12/2/24,  12/15/24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13231.052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64.900000000000006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0</v>
      </c>
      <c r="P2" cm="1">
        <f t="array" ref="P2:P6">INDEX(PR!P:P,_xlfn.ANCHORARRAY($C2))</f>
        <v>0</v>
      </c>
    </row>
    <row r="3" spans="1:18" x14ac:dyDescent="0.3">
      <c r="C3">
        <v>7</v>
      </c>
      <c r="D3" t="str">
        <v>DIV2-IL</v>
      </c>
      <c r="E3" t="str">
        <v>12/2/24,  12/15/24</v>
      </c>
      <c r="F3">
        <v>2302</v>
      </c>
      <c r="H3">
        <v>4626.0959999999995</v>
      </c>
      <c r="I3">
        <v>0</v>
      </c>
      <c r="J3">
        <v>0</v>
      </c>
      <c r="K3">
        <v>6.6</v>
      </c>
      <c r="L3">
        <v>0</v>
      </c>
      <c r="M3">
        <v>0</v>
      </c>
      <c r="N3">
        <v>460.5</v>
      </c>
      <c r="O3">
        <v>0</v>
      </c>
      <c r="P3">
        <v>0</v>
      </c>
    </row>
    <row r="4" spans="1:18" x14ac:dyDescent="0.3">
      <c r="C4">
        <v>8</v>
      </c>
      <c r="D4" t="str">
        <v>DIV2-IL</v>
      </c>
      <c r="E4" t="str">
        <v>12/2/24,  12/15/24</v>
      </c>
      <c r="F4">
        <v>2313</v>
      </c>
      <c r="H4">
        <v>13278.344300000001</v>
      </c>
      <c r="I4">
        <v>0</v>
      </c>
      <c r="J4">
        <v>0</v>
      </c>
      <c r="K4">
        <v>112.4</v>
      </c>
      <c r="L4">
        <v>0</v>
      </c>
      <c r="M4">
        <v>0</v>
      </c>
      <c r="N4">
        <v>1236</v>
      </c>
      <c r="O4">
        <v>500</v>
      </c>
      <c r="P4">
        <v>0</v>
      </c>
    </row>
    <row r="5" spans="1:18" x14ac:dyDescent="0.3">
      <c r="C5">
        <v>9</v>
      </c>
      <c r="D5" t="str">
        <v>DIV2-IL</v>
      </c>
      <c r="E5" t="str">
        <v>12/2/24,  12/15/24</v>
      </c>
      <c r="F5">
        <v>2555</v>
      </c>
      <c r="H5">
        <v>2024.62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3">
      <c r="C6">
        <v>10</v>
      </c>
      <c r="D6" t="str">
        <v>DIV2-IL</v>
      </c>
      <c r="E6" t="str">
        <v>12/2/24,  12/15/24</v>
      </c>
      <c r="F6">
        <v>2298</v>
      </c>
      <c r="H6">
        <v>2641.24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P19" sqref="P19"/>
    </sheetView>
  </sheetViews>
  <sheetFormatPr defaultColWidth="8.88671875" defaultRowHeight="14.4" x14ac:dyDescent="0.3"/>
  <cols>
    <col min="1" max="1" width="1.5546875" style="6" customWidth="1"/>
    <col min="2" max="2" width="13.6640625" style="7" customWidth="1"/>
    <col min="3" max="3" width="15.44140625" style="6" customWidth="1"/>
    <col min="4" max="4" width="12" style="6" customWidth="1"/>
    <col min="5" max="5" width="14.109375" style="6" customWidth="1"/>
    <col min="6" max="6" width="12.6640625" style="66" customWidth="1"/>
    <col min="7" max="7" width="13.44140625" style="67" customWidth="1"/>
    <col min="8" max="8" width="16" style="5" customWidth="1"/>
    <col min="9" max="9" width="18.5546875" style="5" customWidth="1"/>
    <col min="10" max="10" width="17.109375" style="4" customWidth="1"/>
    <col min="11" max="11" width="18.109375" style="4" bestFit="1" customWidth="1"/>
    <col min="12" max="12" width="12.6640625" style="3" customWidth="1"/>
    <col min="13" max="13" width="15" style="3" customWidth="1"/>
    <col min="14" max="14" width="12.88671875" style="8" customWidth="1"/>
    <col min="15" max="16" width="14.33203125" style="8" customWidth="1"/>
    <col min="17" max="21" width="12.44140625" style="8" customWidth="1"/>
    <col min="22" max="23" width="10.33203125" style="6" customWidth="1"/>
    <col min="24" max="24" width="22.88671875" style="49" bestFit="1" customWidth="1"/>
    <col min="25" max="25" width="26.109375" style="6" customWidth="1"/>
    <col min="26" max="26" width="17.33203125" style="6" customWidth="1"/>
    <col min="27" max="27" width="10.5546875" style="3" customWidth="1"/>
    <col min="28" max="28" width="11.6640625" style="4" customWidth="1"/>
    <col min="29" max="29" width="8.88671875" style="6"/>
    <col min="30" max="30" width="16.33203125" style="6" customWidth="1"/>
    <col min="31" max="31" width="9.5546875" style="49" bestFit="1" customWidth="1"/>
    <col min="32" max="35" width="8.88671875" style="6"/>
    <col min="36" max="36" width="8.88671875" style="64"/>
    <col min="37" max="16384" width="8.88671875" style="6"/>
  </cols>
  <sheetData>
    <row r="1" spans="2:36" ht="9" customHeight="1" thickBot="1" x14ac:dyDescent="0.35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5">
      <c r="B2" s="102" t="s">
        <v>37</v>
      </c>
      <c r="C2" s="102"/>
      <c r="D2" s="102"/>
      <c r="E2" s="102"/>
      <c r="F2" s="102"/>
      <c r="H2" s="28" t="s">
        <v>104</v>
      </c>
      <c r="I2" s="29">
        <f>SUM($V$8,$Y$6)-$AB$7</f>
        <v>11654.7443</v>
      </c>
      <c r="M2" s="8"/>
      <c r="V2" s="8"/>
      <c r="X2" s="95" t="s">
        <v>105</v>
      </c>
      <c r="Y2" s="95"/>
      <c r="AA2" s="112" t="s">
        <v>106</v>
      </c>
      <c r="AB2" s="112"/>
      <c r="AD2" s="112" t="s">
        <v>108</v>
      </c>
      <c r="AE2" s="112"/>
      <c r="AF2" s="8"/>
      <c r="AH2" s="9"/>
      <c r="AI2" s="9"/>
      <c r="AJ2" s="9"/>
    </row>
    <row r="3" spans="2:36" x14ac:dyDescent="0.3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399999999999999" customHeight="1" x14ac:dyDescent="0.3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50000000000003" customHeight="1" thickBot="1" x14ac:dyDescent="0.35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112.4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3">
      <c r="B6" s="7" t="str" cm="1">
        <f t="array" ref="B6:V7">_xlfn._xlws.FILTER(SumVDPMVReport[[WeekN]:[Total Rev]],SumVDPMVReport[PARTNER NAME]=$B$2,"No Data for the Selected Partner")</f>
        <v>Week1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987.86609999999996</v>
      </c>
      <c r="J6" s="8">
        <v>1184.5587999999998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296.1397</v>
      </c>
      <c r="Q6" s="87">
        <v>0.89598777658310202</v>
      </c>
      <c r="R6" s="8">
        <v>296.1397</v>
      </c>
      <c r="S6" s="8">
        <v>187.51</v>
      </c>
      <c r="T6" s="8">
        <v>3</v>
      </c>
      <c r="U6" s="8">
        <v>0</v>
      </c>
      <c r="V6" s="8">
        <v>5817.1643000000004</v>
      </c>
      <c r="X6" s="51" t="s">
        <v>132</v>
      </c>
      <c r="Y6" s="52">
        <f>SUM(Y3:Y5)</f>
        <v>112.4</v>
      </c>
      <c r="AA6" s="11" t="s">
        <v>30</v>
      </c>
      <c r="AB6" s="12">
        <f>SUMIF(Deduction_and_other_Revenue[PARTNER],$B$2,Deduction_and_other_Revenue[Total Violation])</f>
        <v>500</v>
      </c>
      <c r="AD6" s="11" t="s">
        <v>133</v>
      </c>
      <c r="AE6" s="12">
        <f>SUMIF(Deduction_and_other_Revenue[PARTNER],$B$2,Deduction_and_other_Revenue[Violation])</f>
        <v>500</v>
      </c>
      <c r="AF6" s="8"/>
      <c r="AJ6" s="6"/>
    </row>
    <row r="7" spans="2:36" ht="15" thickBot="1" x14ac:dyDescent="0.35">
      <c r="B7" s="7" t="str">
        <v>Week2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1460.1999999999998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f>IFERROR(SUM(AB3:AB6),0)</f>
        <v>1736</v>
      </c>
      <c r="AD7" s="9" t="s">
        <v>30</v>
      </c>
      <c r="AE7" s="10">
        <f>SUM(AE3:AE6)</f>
        <v>500</v>
      </c>
      <c r="AF7" s="8"/>
      <c r="AJ7" s="6"/>
    </row>
    <row r="8" spans="2:36" x14ac:dyDescent="0.3">
      <c r="B8" s="25" t="s">
        <v>134</v>
      </c>
      <c r="C8" s="76">
        <f>SUM(C6:C7)</f>
        <v>390</v>
      </c>
      <c r="D8" s="26">
        <f t="shared" ref="D8:F8" si="0">SUM(D6:D7)</f>
        <v>386.85</v>
      </c>
      <c r="E8" s="26">
        <f t="shared" si="0"/>
        <v>280</v>
      </c>
      <c r="F8" s="26">
        <f t="shared" si="0"/>
        <v>106.70999999999998</v>
      </c>
      <c r="G8" s="76"/>
      <c r="H8" s="86">
        <f>SUM(H6:H7)</f>
        <v>5723.9</v>
      </c>
      <c r="I8" s="27">
        <f>SUM(I6:I7)</f>
        <v>2871.5661</v>
      </c>
      <c r="J8" s="27">
        <f t="shared" ref="J8:O8" si="1">SUM(J6:J7)</f>
        <v>2644.7587999999996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730.1</v>
      </c>
      <c r="P8" s="27">
        <f>SUM(P6:P7)</f>
        <v>296.1397</v>
      </c>
      <c r="Q8" s="88"/>
      <c r="R8" s="27">
        <f>SUM(R6:R7)</f>
        <v>661.18970000000002</v>
      </c>
      <c r="S8" s="27">
        <f>SUM(S6:S7)</f>
        <v>347.69</v>
      </c>
      <c r="T8" s="27">
        <f>SUM(T6:T7)</f>
        <v>3</v>
      </c>
      <c r="U8" s="27">
        <f>SUM(U6:U7)</f>
        <v>0</v>
      </c>
      <c r="V8" s="27">
        <f>SUM(V6:V7)</f>
        <v>13278.344300000001</v>
      </c>
      <c r="X8" s="6"/>
      <c r="AA8" s="6"/>
      <c r="AB8" s="6"/>
      <c r="AD8" s="8"/>
      <c r="AE8" s="3"/>
      <c r="AF8" s="8"/>
      <c r="AJ8" s="6"/>
    </row>
    <row r="9" spans="2:36" ht="22.95" customHeight="1" thickBot="1" x14ac:dyDescent="0.35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6" thickBot="1" x14ac:dyDescent="0.35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1"/>
      <c r="N10" s="6"/>
      <c r="O10" s="6"/>
      <c r="P10" s="6"/>
      <c r="Q10" s="6"/>
      <c r="R10" s="6"/>
      <c r="S10" s="6"/>
      <c r="T10" s="6"/>
      <c r="U10" s="6"/>
      <c r="X10" s="113" t="s">
        <v>136</v>
      </c>
      <c r="Y10" s="114"/>
      <c r="Z10" s="114"/>
      <c r="AA10" s="6"/>
      <c r="AB10" s="6"/>
      <c r="AE10" s="6"/>
      <c r="AJ10" s="6"/>
    </row>
    <row r="11" spans="2:36" ht="29.4" thickBot="1" x14ac:dyDescent="0.35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3">
      <c r="B12" s="7" cm="1">
        <f t="array" ref="B12:M25">_xlfn._xlws.FILTER(VDPMVReport[[Week]:[Tolls]],VDPMVReport[PARTNER NAME]=$B$2,"No Data for the Selected Partner")</f>
        <v>45628</v>
      </c>
      <c r="C12" s="6" t="str">
        <v>Ethel</v>
      </c>
      <c r="D12" s="6" t="str">
        <v>Stewart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3">
      <c r="B13" s="7">
        <v>45635</v>
      </c>
      <c r="C13" s="6" t="str">
        <v>Ethel</v>
      </c>
      <c r="D13" s="6" t="str">
        <v>Stewart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3">
      <c r="B14" s="7">
        <v>45628</v>
      </c>
      <c r="C14" s="6" t="str">
        <v>BRENDA</v>
      </c>
      <c r="D14" s="6" t="str">
        <v>LUMPKIN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3">
      <c r="B15" s="7">
        <v>45635</v>
      </c>
      <c r="C15" s="6" t="str">
        <v>BRENDA</v>
      </c>
      <c r="D15" s="6" t="str">
        <v>LUMPKIN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3">
      <c r="B16" s="7">
        <v>45628</v>
      </c>
      <c r="C16" s="6" t="str">
        <v>Dennis</v>
      </c>
      <c r="D16" s="6" t="str">
        <v>Jones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3">
      <c r="B17" s="7">
        <v>45635</v>
      </c>
      <c r="C17" s="6" t="str">
        <v>Dennis</v>
      </c>
      <c r="D17" s="6" t="str">
        <v>Jones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3">
      <c r="B18" s="7">
        <v>45628</v>
      </c>
      <c r="C18" s="6" t="str">
        <v>STERLING</v>
      </c>
      <c r="D18" s="6" t="str">
        <v>ROGERS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3">
      <c r="B19" s="7">
        <v>45635</v>
      </c>
      <c r="C19" s="6" t="str">
        <v>STERLING</v>
      </c>
      <c r="D19" s="6" t="str">
        <v>ROGERS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3">
      <c r="B20" s="7">
        <v>45628</v>
      </c>
      <c r="C20" s="6" t="str">
        <v>Sarah</v>
      </c>
      <c r="D20" s="6" t="str">
        <v>Reinhard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3">
      <c r="B21" s="7">
        <v>45635</v>
      </c>
      <c r="C21" s="6" t="str">
        <v>Sarah</v>
      </c>
      <c r="D21" s="6" t="str">
        <v>Reinhard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3">
      <c r="B22" s="7">
        <v>45628</v>
      </c>
      <c r="C22" s="6" t="str">
        <v>Dennis</v>
      </c>
      <c r="D22" s="6" t="str">
        <v>Jones Jr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3">
      <c r="B23" s="7">
        <v>45635</v>
      </c>
      <c r="C23" s="6" t="str">
        <v>Dennis</v>
      </c>
      <c r="D23" s="6" t="str">
        <v>Jones Jr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3">
      <c r="B24" s="7">
        <v>45628</v>
      </c>
      <c r="C24" s="6" t="str">
        <v>HENRY</v>
      </c>
      <c r="D24" s="6" t="str">
        <v>PINCKNEY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3">
      <c r="B25" s="7">
        <v>45635</v>
      </c>
      <c r="C25" s="6" t="str">
        <v>HENRY</v>
      </c>
      <c r="D25" s="6" t="str">
        <v>PINCKNEY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3">
      <c r="E33" s="90"/>
    </row>
    <row r="39" spans="5:12" x14ac:dyDescent="0.3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40"/>
  <sheetViews>
    <sheetView workbookViewId="0"/>
  </sheetViews>
  <sheetFormatPr defaultRowHeight="14.4" x14ac:dyDescent="0.3"/>
  <cols>
    <col min="1" max="1" width="9.6640625" bestFit="1" customWidth="1"/>
    <col min="2" max="2" width="13.44140625" bestFit="1" customWidth="1"/>
    <col min="3" max="3" width="13" bestFit="1" customWidth="1"/>
    <col min="4" max="4" width="18.109375" bestFit="1" customWidth="1"/>
    <col min="5" max="5" width="18" bestFit="1" customWidth="1"/>
    <col min="6" max="6" width="18.88671875" bestFit="1" customWidth="1"/>
    <col min="7" max="7" width="20" bestFit="1" customWidth="1"/>
    <col min="8" max="8" width="15.44140625" bestFit="1" customWidth="1"/>
    <col min="9" max="9" width="14.88671875" bestFit="1" customWidth="1"/>
    <col min="10" max="10" width="26.5546875" bestFit="1" customWidth="1"/>
    <col min="11" max="11" width="13.33203125" bestFit="1" customWidth="1"/>
    <col min="12" max="12" width="7.44140625" bestFit="1" customWidth="1"/>
    <col min="13" max="13" width="37.6640625" bestFit="1" customWidth="1"/>
    <col min="14" max="14" width="12.5546875" bestFit="1" customWidth="1"/>
    <col min="15" max="15" width="16.88671875" bestFit="1" customWidth="1"/>
    <col min="16" max="16" width="16" bestFit="1" customWidth="1"/>
    <col min="17" max="17" width="22.33203125" bestFit="1" customWidth="1"/>
    <col min="18" max="18" width="13.6640625" bestFit="1" customWidth="1"/>
    <col min="19" max="19" width="31" bestFit="1" customWidth="1"/>
    <col min="20" max="20" width="27" bestFit="1" customWidth="1"/>
    <col min="21" max="21" width="15.88671875" bestFit="1" customWidth="1"/>
    <col min="22" max="22" width="15.6640625" bestFit="1" customWidth="1"/>
    <col min="23" max="23" width="15.109375" bestFit="1" customWidth="1"/>
    <col min="24" max="24" width="15.5546875" bestFit="1" customWidth="1"/>
    <col min="25" max="26" width="15.109375" bestFit="1" customWidth="1"/>
    <col min="27" max="27" width="10.33203125" bestFit="1" customWidth="1"/>
    <col min="28" max="28" width="10" bestFit="1" customWidth="1"/>
    <col min="29" max="29" width="18.109375" bestFit="1" customWidth="1"/>
    <col min="30" max="30" width="17" bestFit="1" customWidth="1"/>
    <col min="31" max="32" width="19.88671875" bestFit="1" customWidth="1"/>
    <col min="33" max="33" width="12.44140625" bestFit="1" customWidth="1"/>
    <col min="34" max="34" width="11.6640625" bestFit="1" customWidth="1"/>
    <col min="35" max="35" width="20.44140625" bestFit="1" customWidth="1"/>
    <col min="36" max="36" width="29.6640625" bestFit="1" customWidth="1"/>
    <col min="37" max="37" width="18.6640625" bestFit="1" customWidth="1"/>
    <col min="38" max="38" width="19.33203125" bestFit="1" customWidth="1"/>
    <col min="39" max="39" width="18" bestFit="1" customWidth="1"/>
    <col min="40" max="40" width="11.33203125" bestFit="1" customWidth="1"/>
    <col min="41" max="41" width="19.33203125" bestFit="1" customWidth="1"/>
    <col min="42" max="42" width="18" bestFit="1" customWidth="1"/>
    <col min="43" max="43" width="10.6640625" bestFit="1" customWidth="1"/>
    <col min="44" max="44" width="14.6640625" bestFit="1" customWidth="1"/>
    <col min="45" max="45" width="13.6640625" bestFit="1" customWidth="1"/>
    <col min="46" max="46" width="8.88671875" bestFit="1" customWidth="1"/>
    <col min="47" max="47" width="16" bestFit="1" customWidth="1"/>
    <col min="48" max="48" width="18.109375" bestFit="1" customWidth="1"/>
    <col min="49" max="49" width="17" bestFit="1" customWidth="1"/>
    <col min="50" max="51" width="18.44140625" bestFit="1" customWidth="1"/>
    <col min="52" max="52" width="17.44140625" bestFit="1" customWidth="1"/>
    <col min="53" max="53" width="11.6640625" bestFit="1" customWidth="1"/>
    <col min="54" max="54" width="12.44140625" bestFit="1" customWidth="1"/>
    <col min="55" max="55" width="22.109375" bestFit="1" customWidth="1"/>
    <col min="56" max="56" width="18.5546875" bestFit="1" customWidth="1"/>
    <col min="57" max="57" width="11.44140625" bestFit="1" customWidth="1"/>
    <col min="58" max="58" width="15.5546875" bestFit="1" customWidth="1"/>
    <col min="59" max="59" width="14.33203125" bestFit="1" customWidth="1"/>
    <col min="60" max="60" width="10" bestFit="1" customWidth="1"/>
    <col min="61" max="61" width="18.5546875" bestFit="1" customWidth="1"/>
    <col min="62" max="62" width="18.33203125" bestFit="1" customWidth="1"/>
    <col min="63" max="63" width="11.5546875" bestFit="1" customWidth="1"/>
    <col min="64" max="64" width="10.6640625" bestFit="1" customWidth="1"/>
    <col min="65" max="65" width="22.33203125" bestFit="1" customWidth="1"/>
  </cols>
  <sheetData>
    <row r="1" spans="1:37" x14ac:dyDescent="0.3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3">
      <c r="A2" s="2">
        <v>45628</v>
      </c>
      <c r="B2" t="s">
        <v>355</v>
      </c>
      <c r="C2" t="s">
        <v>356</v>
      </c>
      <c r="D2">
        <v>20</v>
      </c>
      <c r="E2">
        <v>0.92727272727272725</v>
      </c>
      <c r="F2">
        <v>3.9215686274509803E-2</v>
      </c>
      <c r="G2">
        <v>34.35</v>
      </c>
      <c r="H2">
        <v>0.01</v>
      </c>
      <c r="I2">
        <v>34.340000000000003</v>
      </c>
      <c r="J2">
        <v>330.54999999999899</v>
      </c>
      <c r="K2">
        <v>0</v>
      </c>
      <c r="L2">
        <v>0</v>
      </c>
      <c r="M2" t="s">
        <v>357</v>
      </c>
      <c r="N2">
        <v>0</v>
      </c>
      <c r="O2">
        <v>20</v>
      </c>
      <c r="P2">
        <v>30.92</v>
      </c>
      <c r="Q2">
        <v>1</v>
      </c>
      <c r="R2">
        <v>3.43</v>
      </c>
      <c r="S2">
        <v>26.33</v>
      </c>
      <c r="T2">
        <v>23.64</v>
      </c>
      <c r="U2">
        <v>0.57999999999999996</v>
      </c>
      <c r="V2">
        <v>51</v>
      </c>
      <c r="W2">
        <v>3</v>
      </c>
      <c r="X2">
        <v>2</v>
      </c>
      <c r="Y2">
        <v>0</v>
      </c>
      <c r="Z2">
        <v>0</v>
      </c>
      <c r="AA2">
        <v>34.340000000000003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3">
      <c r="A3" s="2">
        <v>45635</v>
      </c>
      <c r="B3" t="s">
        <v>355</v>
      </c>
      <c r="C3" t="s">
        <v>356</v>
      </c>
      <c r="D3">
        <v>39</v>
      </c>
      <c r="E3">
        <v>0.65740740740740744</v>
      </c>
      <c r="F3">
        <v>4.2253521126760563E-2</v>
      </c>
      <c r="G3">
        <v>39.15</v>
      </c>
      <c r="H3">
        <v>0.39</v>
      </c>
      <c r="I3">
        <v>38.76</v>
      </c>
      <c r="J3">
        <v>525.89</v>
      </c>
      <c r="K3">
        <v>5</v>
      </c>
      <c r="L3">
        <v>0</v>
      </c>
      <c r="M3" t="s">
        <v>357</v>
      </c>
      <c r="N3">
        <v>4</v>
      </c>
      <c r="O3">
        <v>35</v>
      </c>
      <c r="P3">
        <v>33.56</v>
      </c>
      <c r="Q3">
        <v>25</v>
      </c>
      <c r="R3">
        <v>5.19</v>
      </c>
      <c r="S3">
        <v>26.21</v>
      </c>
      <c r="T3">
        <v>21.09</v>
      </c>
      <c r="U3">
        <v>1</v>
      </c>
      <c r="V3">
        <v>71</v>
      </c>
      <c r="W3">
        <v>12</v>
      </c>
      <c r="X3">
        <v>3</v>
      </c>
      <c r="Y3">
        <v>0</v>
      </c>
      <c r="Z3">
        <v>0</v>
      </c>
      <c r="AA3">
        <v>38.76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3">
      <c r="A4" s="2">
        <v>45628</v>
      </c>
      <c r="B4" t="s">
        <v>362</v>
      </c>
      <c r="C4" t="s">
        <v>363</v>
      </c>
      <c r="D4">
        <v>10</v>
      </c>
      <c r="E4">
        <v>0.92307692307692313</v>
      </c>
      <c r="F4">
        <v>0</v>
      </c>
      <c r="G4">
        <v>6.03</v>
      </c>
      <c r="H4">
        <v>0</v>
      </c>
      <c r="I4">
        <v>6.03</v>
      </c>
      <c r="J4">
        <v>69.47</v>
      </c>
      <c r="K4">
        <v>3</v>
      </c>
      <c r="L4">
        <v>0</v>
      </c>
      <c r="M4" t="s">
        <v>364</v>
      </c>
      <c r="N4">
        <v>0</v>
      </c>
      <c r="O4">
        <v>10</v>
      </c>
      <c r="P4">
        <v>2.91</v>
      </c>
      <c r="Q4">
        <v>0</v>
      </c>
      <c r="R4">
        <v>3.12</v>
      </c>
      <c r="S4">
        <v>0</v>
      </c>
      <c r="T4">
        <v>0</v>
      </c>
      <c r="U4">
        <v>1.66</v>
      </c>
      <c r="V4">
        <v>12</v>
      </c>
      <c r="W4">
        <v>1</v>
      </c>
      <c r="X4">
        <v>0</v>
      </c>
      <c r="Y4">
        <v>0</v>
      </c>
      <c r="Z4">
        <v>0</v>
      </c>
      <c r="AA4">
        <v>6.03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0</v>
      </c>
      <c r="AI4" t="s">
        <v>242</v>
      </c>
      <c r="AJ4" t="s">
        <v>48</v>
      </c>
      <c r="AK4">
        <v>0.7</v>
      </c>
    </row>
    <row r="5" spans="1:37" hidden="1" x14ac:dyDescent="0.3">
      <c r="A5" s="2">
        <v>45635</v>
      </c>
      <c r="B5" t="s">
        <v>362</v>
      </c>
      <c r="C5" t="s">
        <v>363</v>
      </c>
      <c r="D5">
        <v>22</v>
      </c>
      <c r="E5">
        <v>1</v>
      </c>
      <c r="F5">
        <v>0</v>
      </c>
      <c r="G5">
        <v>21.05</v>
      </c>
      <c r="H5">
        <v>0</v>
      </c>
      <c r="I5">
        <v>21.05</v>
      </c>
      <c r="J5">
        <v>241.83</v>
      </c>
      <c r="K5">
        <v>18</v>
      </c>
      <c r="L5">
        <v>0</v>
      </c>
      <c r="M5" t="s">
        <v>364</v>
      </c>
      <c r="N5">
        <v>2</v>
      </c>
      <c r="O5">
        <v>20</v>
      </c>
      <c r="P5">
        <v>9.52</v>
      </c>
      <c r="Q5">
        <v>0</v>
      </c>
      <c r="R5">
        <v>11.53</v>
      </c>
      <c r="S5">
        <v>0.28999999999999998</v>
      </c>
      <c r="T5">
        <v>0.28000000000000003</v>
      </c>
      <c r="U5">
        <v>1.05</v>
      </c>
      <c r="V5">
        <v>24</v>
      </c>
      <c r="W5">
        <v>0</v>
      </c>
      <c r="X5">
        <v>0</v>
      </c>
      <c r="Y5">
        <v>21.05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21.05</v>
      </c>
      <c r="AI5" t="s">
        <v>242</v>
      </c>
      <c r="AJ5" t="s">
        <v>48</v>
      </c>
      <c r="AK5">
        <v>0.7</v>
      </c>
    </row>
    <row r="6" spans="1:37" hidden="1" x14ac:dyDescent="0.3">
      <c r="A6" s="2">
        <v>45628</v>
      </c>
      <c r="B6" t="s">
        <v>345</v>
      </c>
      <c r="C6" t="s">
        <v>346</v>
      </c>
      <c r="D6">
        <v>61</v>
      </c>
      <c r="E6">
        <v>0.97297297297297303</v>
      </c>
      <c r="F6">
        <v>0</v>
      </c>
      <c r="G6">
        <v>32.43</v>
      </c>
      <c r="H6">
        <v>0</v>
      </c>
      <c r="I6">
        <v>32.43</v>
      </c>
      <c r="J6">
        <v>773.38</v>
      </c>
      <c r="K6">
        <v>25.82</v>
      </c>
      <c r="L6">
        <v>0</v>
      </c>
      <c r="M6" t="s">
        <v>347</v>
      </c>
      <c r="N6">
        <v>2</v>
      </c>
      <c r="O6">
        <v>59</v>
      </c>
      <c r="P6">
        <v>30.44</v>
      </c>
      <c r="Q6">
        <v>2</v>
      </c>
      <c r="R6">
        <v>1.98</v>
      </c>
      <c r="S6">
        <v>19.239999999999998</v>
      </c>
      <c r="T6">
        <v>18.73</v>
      </c>
      <c r="U6">
        <v>1.88</v>
      </c>
      <c r="V6">
        <v>72</v>
      </c>
      <c r="W6">
        <v>0</v>
      </c>
      <c r="X6">
        <v>0</v>
      </c>
      <c r="Y6">
        <v>32.43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32.43</v>
      </c>
      <c r="AI6" t="s">
        <v>168</v>
      </c>
      <c r="AJ6" t="s">
        <v>37</v>
      </c>
      <c r="AK6">
        <v>0.7</v>
      </c>
    </row>
    <row r="7" spans="1:37" hidden="1" x14ac:dyDescent="0.3">
      <c r="A7" s="2">
        <v>45635</v>
      </c>
      <c r="B7" t="s">
        <v>345</v>
      </c>
      <c r="C7" t="s">
        <v>346</v>
      </c>
      <c r="D7">
        <v>67</v>
      </c>
      <c r="E7">
        <v>0.98795180722891562</v>
      </c>
      <c r="F7">
        <v>0</v>
      </c>
      <c r="G7">
        <v>29.57</v>
      </c>
      <c r="H7">
        <v>0.01</v>
      </c>
      <c r="I7">
        <v>29.56</v>
      </c>
      <c r="J7">
        <v>714.41999999999905</v>
      </c>
      <c r="K7">
        <v>30</v>
      </c>
      <c r="L7">
        <v>0</v>
      </c>
      <c r="M7" t="s">
        <v>347</v>
      </c>
      <c r="N7">
        <v>0</v>
      </c>
      <c r="O7">
        <v>67</v>
      </c>
      <c r="P7">
        <v>28.6</v>
      </c>
      <c r="Q7">
        <v>1</v>
      </c>
      <c r="R7">
        <v>0.96</v>
      </c>
      <c r="S7">
        <v>20.16</v>
      </c>
      <c r="T7">
        <v>19.48</v>
      </c>
      <c r="U7">
        <v>2.27</v>
      </c>
      <c r="V7">
        <v>82</v>
      </c>
      <c r="W7">
        <v>0</v>
      </c>
      <c r="X7">
        <v>0</v>
      </c>
      <c r="Y7">
        <v>29.56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29.56</v>
      </c>
      <c r="AI7" t="s">
        <v>168</v>
      </c>
      <c r="AJ7" t="s">
        <v>37</v>
      </c>
      <c r="AK7">
        <v>0.7</v>
      </c>
    </row>
    <row r="8" spans="1:37" hidden="1" x14ac:dyDescent="0.3">
      <c r="A8" s="2">
        <v>45635</v>
      </c>
      <c r="B8" t="s">
        <v>370</v>
      </c>
      <c r="C8" t="s">
        <v>371</v>
      </c>
      <c r="D8">
        <v>6</v>
      </c>
      <c r="E8">
        <v>0.72727272727272729</v>
      </c>
      <c r="F8">
        <v>0.125</v>
      </c>
      <c r="G8">
        <v>4.22</v>
      </c>
      <c r="H8">
        <v>0</v>
      </c>
      <c r="I8">
        <v>4.22</v>
      </c>
      <c r="J8">
        <v>85.4</v>
      </c>
      <c r="K8">
        <v>0</v>
      </c>
      <c r="L8">
        <v>0</v>
      </c>
      <c r="M8" t="s">
        <v>372</v>
      </c>
      <c r="N8">
        <v>1</v>
      </c>
      <c r="O8">
        <v>5</v>
      </c>
      <c r="P8">
        <v>4.1900000000000004</v>
      </c>
      <c r="Q8">
        <v>2</v>
      </c>
      <c r="R8">
        <v>0.04</v>
      </c>
      <c r="S8">
        <v>0</v>
      </c>
      <c r="T8">
        <v>0</v>
      </c>
      <c r="U8">
        <v>1.42</v>
      </c>
      <c r="V8">
        <v>8</v>
      </c>
      <c r="W8">
        <v>1</v>
      </c>
      <c r="X8">
        <v>1</v>
      </c>
      <c r="Y8">
        <v>0</v>
      </c>
      <c r="Z8">
        <v>0</v>
      </c>
      <c r="AA8">
        <v>4.22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368</v>
      </c>
      <c r="AJ8" t="s">
        <v>65</v>
      </c>
      <c r="AK8">
        <v>0.7</v>
      </c>
    </row>
    <row r="9" spans="1:37" hidden="1" x14ac:dyDescent="0.3">
      <c r="A9" s="2">
        <v>45628</v>
      </c>
      <c r="B9" t="s">
        <v>365</v>
      </c>
      <c r="C9" t="s">
        <v>366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367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169</v>
      </c>
      <c r="AJ9" t="s">
        <v>48</v>
      </c>
      <c r="AK9">
        <v>0.7</v>
      </c>
    </row>
    <row r="10" spans="1:37" hidden="1" x14ac:dyDescent="0.3">
      <c r="A10" s="2">
        <v>45635</v>
      </c>
      <c r="B10" t="s">
        <v>365</v>
      </c>
      <c r="C10" t="s">
        <v>366</v>
      </c>
      <c r="D10">
        <v>1</v>
      </c>
      <c r="E10">
        <v>1</v>
      </c>
      <c r="F10">
        <v>0</v>
      </c>
      <c r="G10">
        <v>2.85</v>
      </c>
      <c r="H10">
        <v>0</v>
      </c>
      <c r="I10">
        <v>2.85</v>
      </c>
      <c r="J10">
        <v>3.27</v>
      </c>
      <c r="K10">
        <v>0</v>
      </c>
      <c r="L10">
        <v>0</v>
      </c>
      <c r="M10" t="s">
        <v>367</v>
      </c>
      <c r="N10">
        <v>0</v>
      </c>
      <c r="O10">
        <v>1</v>
      </c>
      <c r="P10">
        <v>2.83</v>
      </c>
      <c r="Q10">
        <v>0</v>
      </c>
      <c r="R10">
        <v>0.02</v>
      </c>
      <c r="S10">
        <v>2.85</v>
      </c>
      <c r="T10">
        <v>2.83</v>
      </c>
      <c r="U10">
        <v>0.35</v>
      </c>
      <c r="V10">
        <v>2</v>
      </c>
      <c r="W10">
        <v>0</v>
      </c>
      <c r="X10">
        <v>0</v>
      </c>
      <c r="Y10">
        <v>2.85</v>
      </c>
      <c r="Z10">
        <v>0</v>
      </c>
      <c r="AA10">
        <v>0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2.85</v>
      </c>
      <c r="AI10" t="s">
        <v>169</v>
      </c>
      <c r="AJ10" t="s">
        <v>48</v>
      </c>
      <c r="AK10">
        <v>0.7</v>
      </c>
    </row>
    <row r="11" spans="1:37" hidden="1" x14ac:dyDescent="0.3">
      <c r="A11" s="2">
        <v>45628</v>
      </c>
      <c r="B11" t="s">
        <v>316</v>
      </c>
      <c r="C11" t="s">
        <v>317</v>
      </c>
      <c r="D11">
        <v>32</v>
      </c>
      <c r="E11">
        <v>1</v>
      </c>
      <c r="F11">
        <v>0.10810810810810811</v>
      </c>
      <c r="G11">
        <v>17.88</v>
      </c>
      <c r="H11">
        <v>0.01</v>
      </c>
      <c r="I11">
        <v>17.869999999999997</v>
      </c>
      <c r="J11">
        <v>433.01</v>
      </c>
      <c r="K11">
        <v>38.04</v>
      </c>
      <c r="L11">
        <v>0</v>
      </c>
      <c r="M11" t="s">
        <v>318</v>
      </c>
      <c r="N11">
        <v>0</v>
      </c>
      <c r="O11">
        <v>32</v>
      </c>
      <c r="P11">
        <v>15.89</v>
      </c>
      <c r="Q11">
        <v>0</v>
      </c>
      <c r="R11">
        <v>1.98</v>
      </c>
      <c r="S11">
        <v>11.01</v>
      </c>
      <c r="T11">
        <v>9.6</v>
      </c>
      <c r="U11">
        <v>1.79</v>
      </c>
      <c r="V11">
        <v>37</v>
      </c>
      <c r="W11">
        <v>0</v>
      </c>
      <c r="X11">
        <v>4</v>
      </c>
      <c r="Y11">
        <v>0</v>
      </c>
      <c r="Z11">
        <v>0</v>
      </c>
      <c r="AA11">
        <v>17.869999999999997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0</v>
      </c>
      <c r="AI11" t="s">
        <v>170</v>
      </c>
      <c r="AJ11" t="s">
        <v>37</v>
      </c>
      <c r="AK11">
        <v>0.7</v>
      </c>
    </row>
    <row r="12" spans="1:37" hidden="1" x14ac:dyDescent="0.3">
      <c r="A12" s="2">
        <v>45635</v>
      </c>
      <c r="B12" t="s">
        <v>316</v>
      </c>
      <c r="C12" t="s">
        <v>317</v>
      </c>
      <c r="D12">
        <v>64</v>
      </c>
      <c r="E12">
        <v>1</v>
      </c>
      <c r="F12">
        <v>0.1038961038961039</v>
      </c>
      <c r="G12">
        <v>29.74</v>
      </c>
      <c r="H12">
        <v>0.01</v>
      </c>
      <c r="I12">
        <v>29.729999999999997</v>
      </c>
      <c r="J12">
        <v>691.73</v>
      </c>
      <c r="K12">
        <v>36.99</v>
      </c>
      <c r="L12">
        <v>0</v>
      </c>
      <c r="M12" t="s">
        <v>318</v>
      </c>
      <c r="N12">
        <v>0</v>
      </c>
      <c r="O12">
        <v>64</v>
      </c>
      <c r="P12">
        <v>28.13</v>
      </c>
      <c r="Q12">
        <v>0</v>
      </c>
      <c r="R12">
        <v>1.6</v>
      </c>
      <c r="S12">
        <v>14.39</v>
      </c>
      <c r="T12">
        <v>13.23</v>
      </c>
      <c r="U12">
        <v>2.15</v>
      </c>
      <c r="V12">
        <v>77</v>
      </c>
      <c r="W12">
        <v>0</v>
      </c>
      <c r="X12">
        <v>8</v>
      </c>
      <c r="Y12">
        <v>0</v>
      </c>
      <c r="Z12">
        <v>0</v>
      </c>
      <c r="AA12">
        <v>29.729999999999997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0</v>
      </c>
      <c r="AI12" t="s">
        <v>170</v>
      </c>
      <c r="AJ12" t="s">
        <v>37</v>
      </c>
      <c r="AK12">
        <v>0.7</v>
      </c>
    </row>
    <row r="13" spans="1:37" hidden="1" x14ac:dyDescent="0.3">
      <c r="A13" s="2">
        <v>45628</v>
      </c>
      <c r="B13" t="s">
        <v>313</v>
      </c>
      <c r="C13" t="s">
        <v>314</v>
      </c>
      <c r="D13">
        <v>131</v>
      </c>
      <c r="E13">
        <v>1</v>
      </c>
      <c r="F13">
        <v>2.0408163265306121E-2</v>
      </c>
      <c r="G13">
        <v>50.03</v>
      </c>
      <c r="H13">
        <v>0</v>
      </c>
      <c r="I13">
        <v>50.03</v>
      </c>
      <c r="J13">
        <v>1228.3800000000001</v>
      </c>
      <c r="K13">
        <v>59</v>
      </c>
      <c r="L13">
        <v>0</v>
      </c>
      <c r="M13" t="s">
        <v>315</v>
      </c>
      <c r="N13">
        <v>0</v>
      </c>
      <c r="O13">
        <v>131</v>
      </c>
      <c r="P13">
        <v>46.32</v>
      </c>
      <c r="Q13">
        <v>0</v>
      </c>
      <c r="R13">
        <v>3.71</v>
      </c>
      <c r="S13">
        <v>0.99</v>
      </c>
      <c r="T13">
        <v>0.99</v>
      </c>
      <c r="U13">
        <v>2.62</v>
      </c>
      <c r="V13">
        <v>147</v>
      </c>
      <c r="W13">
        <v>0</v>
      </c>
      <c r="X13">
        <v>3</v>
      </c>
      <c r="Y13">
        <v>50.03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50.03</v>
      </c>
      <c r="AI13" t="s">
        <v>171</v>
      </c>
      <c r="AJ13" t="s">
        <v>34</v>
      </c>
      <c r="AK13">
        <v>0.7</v>
      </c>
    </row>
    <row r="14" spans="1:37" hidden="1" x14ac:dyDescent="0.3">
      <c r="A14" s="2">
        <v>45635</v>
      </c>
      <c r="B14" t="s">
        <v>313</v>
      </c>
      <c r="C14" t="s">
        <v>314</v>
      </c>
      <c r="D14">
        <v>85</v>
      </c>
      <c r="E14">
        <v>1</v>
      </c>
      <c r="F14">
        <v>2.0202020202020204E-2</v>
      </c>
      <c r="G14">
        <v>40.159999999999997</v>
      </c>
      <c r="H14">
        <v>0</v>
      </c>
      <c r="I14">
        <v>40.159999999999997</v>
      </c>
      <c r="J14">
        <v>957.72</v>
      </c>
      <c r="K14">
        <v>52.02</v>
      </c>
      <c r="L14">
        <v>0</v>
      </c>
      <c r="M14" t="s">
        <v>315</v>
      </c>
      <c r="N14">
        <v>0</v>
      </c>
      <c r="O14">
        <v>85</v>
      </c>
      <c r="P14">
        <v>38.61</v>
      </c>
      <c r="Q14">
        <v>0</v>
      </c>
      <c r="R14">
        <v>1.54</v>
      </c>
      <c r="S14">
        <v>1.3</v>
      </c>
      <c r="T14">
        <v>1.3</v>
      </c>
      <c r="U14">
        <v>2.12</v>
      </c>
      <c r="V14">
        <v>99</v>
      </c>
      <c r="W14">
        <v>0</v>
      </c>
      <c r="X14">
        <v>2</v>
      </c>
      <c r="Y14">
        <v>40.159999999999997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40.159999999999997</v>
      </c>
      <c r="AI14" t="s">
        <v>171</v>
      </c>
      <c r="AJ14" t="s">
        <v>34</v>
      </c>
      <c r="AK14">
        <v>0.7</v>
      </c>
    </row>
    <row r="15" spans="1:37" hidden="1" x14ac:dyDescent="0.3">
      <c r="A15" s="2">
        <v>45628</v>
      </c>
      <c r="B15" t="s">
        <v>322</v>
      </c>
      <c r="C15" t="s">
        <v>323</v>
      </c>
      <c r="D15">
        <v>105</v>
      </c>
      <c r="E15">
        <v>0.51207729468599039</v>
      </c>
      <c r="F15">
        <v>0</v>
      </c>
      <c r="G15">
        <v>50.34</v>
      </c>
      <c r="H15">
        <v>0.83</v>
      </c>
      <c r="I15">
        <v>49.510000000000005</v>
      </c>
      <c r="J15">
        <v>1031.4099999999901</v>
      </c>
      <c r="K15">
        <v>39.619999999999997</v>
      </c>
      <c r="L15">
        <v>0</v>
      </c>
      <c r="M15" t="s">
        <v>324</v>
      </c>
      <c r="N15">
        <v>0</v>
      </c>
      <c r="O15">
        <v>105</v>
      </c>
      <c r="P15">
        <v>34.83</v>
      </c>
      <c r="Q15">
        <v>101</v>
      </c>
      <c r="R15">
        <v>14.67</v>
      </c>
      <c r="S15">
        <v>7.42</v>
      </c>
      <c r="T15">
        <v>4.9000000000000004</v>
      </c>
      <c r="U15">
        <v>2.09</v>
      </c>
      <c r="V15">
        <v>106</v>
      </c>
      <c r="W15">
        <v>0</v>
      </c>
      <c r="X15">
        <v>0</v>
      </c>
      <c r="Y15">
        <v>0</v>
      </c>
      <c r="Z15">
        <v>0</v>
      </c>
      <c r="AA15">
        <v>49.510000000000005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0</v>
      </c>
      <c r="AI15" t="s">
        <v>172</v>
      </c>
      <c r="AJ15" t="s">
        <v>48</v>
      </c>
      <c r="AK15">
        <v>0.7</v>
      </c>
    </row>
    <row r="16" spans="1:37" hidden="1" x14ac:dyDescent="0.3">
      <c r="A16" s="2">
        <v>45635</v>
      </c>
      <c r="B16" t="s">
        <v>322</v>
      </c>
      <c r="C16" t="s">
        <v>323</v>
      </c>
      <c r="D16">
        <v>94</v>
      </c>
      <c r="E16">
        <v>0.77397260273972601</v>
      </c>
      <c r="F16">
        <v>0</v>
      </c>
      <c r="G16">
        <v>38.19</v>
      </c>
      <c r="H16">
        <v>0.22</v>
      </c>
      <c r="I16">
        <v>37.97</v>
      </c>
      <c r="J16">
        <v>830.33999999999901</v>
      </c>
      <c r="K16">
        <v>41</v>
      </c>
      <c r="L16">
        <v>0</v>
      </c>
      <c r="M16" t="s">
        <v>324</v>
      </c>
      <c r="N16">
        <v>10</v>
      </c>
      <c r="O16">
        <v>84</v>
      </c>
      <c r="P16">
        <v>33</v>
      </c>
      <c r="Q16">
        <v>33</v>
      </c>
      <c r="R16">
        <v>4.97</v>
      </c>
      <c r="S16">
        <v>3.15</v>
      </c>
      <c r="T16">
        <v>2.81</v>
      </c>
      <c r="U16">
        <v>2.46</v>
      </c>
      <c r="V16">
        <v>113</v>
      </c>
      <c r="W16">
        <v>0</v>
      </c>
      <c r="X16">
        <v>0</v>
      </c>
      <c r="Y16">
        <v>0</v>
      </c>
      <c r="Z16">
        <v>0</v>
      </c>
      <c r="AA16">
        <v>37.97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0</v>
      </c>
      <c r="AI16" t="s">
        <v>172</v>
      </c>
      <c r="AJ16" t="s">
        <v>48</v>
      </c>
      <c r="AK16">
        <v>0.7</v>
      </c>
    </row>
    <row r="17" spans="1:37" hidden="1" x14ac:dyDescent="0.3">
      <c r="A17" s="2">
        <v>45628</v>
      </c>
      <c r="B17" t="s">
        <v>319</v>
      </c>
      <c r="C17" t="s">
        <v>320</v>
      </c>
      <c r="D17">
        <v>64</v>
      </c>
      <c r="E17">
        <v>1</v>
      </c>
      <c r="F17">
        <v>3.0303030303030304E-2</v>
      </c>
      <c r="G17">
        <v>41.65</v>
      </c>
      <c r="H17">
        <v>4.91</v>
      </c>
      <c r="I17">
        <v>36.739999999999995</v>
      </c>
      <c r="J17">
        <v>801.8</v>
      </c>
      <c r="K17">
        <v>35.269999999999897</v>
      </c>
      <c r="L17">
        <v>0</v>
      </c>
      <c r="M17" t="s">
        <v>321</v>
      </c>
      <c r="N17">
        <v>0</v>
      </c>
      <c r="O17">
        <v>64</v>
      </c>
      <c r="P17">
        <v>30.36</v>
      </c>
      <c r="Q17">
        <v>0</v>
      </c>
      <c r="R17">
        <v>6.38</v>
      </c>
      <c r="S17">
        <v>25.53</v>
      </c>
      <c r="T17">
        <v>18.39</v>
      </c>
      <c r="U17">
        <v>1.54</v>
      </c>
      <c r="V17">
        <v>66</v>
      </c>
      <c r="W17">
        <v>0</v>
      </c>
      <c r="X17">
        <v>2</v>
      </c>
      <c r="Y17">
        <v>36.739999999999995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36.739999999999995</v>
      </c>
      <c r="AI17" t="s">
        <v>174</v>
      </c>
      <c r="AJ17" t="s">
        <v>37</v>
      </c>
      <c r="AK17">
        <v>0.7</v>
      </c>
    </row>
    <row r="18" spans="1:37" hidden="1" x14ac:dyDescent="0.3">
      <c r="A18" s="2">
        <v>45635</v>
      </c>
      <c r="B18" t="s">
        <v>319</v>
      </c>
      <c r="C18" t="s">
        <v>320</v>
      </c>
      <c r="D18">
        <v>66</v>
      </c>
      <c r="E18">
        <v>1</v>
      </c>
      <c r="F18">
        <v>2.5316455696202531E-2</v>
      </c>
      <c r="G18">
        <v>34.99</v>
      </c>
      <c r="H18">
        <v>0.01</v>
      </c>
      <c r="I18">
        <v>34.980000000000004</v>
      </c>
      <c r="J18">
        <v>678.06</v>
      </c>
      <c r="K18">
        <v>5</v>
      </c>
      <c r="L18">
        <v>0</v>
      </c>
      <c r="M18" t="s">
        <v>321</v>
      </c>
      <c r="N18">
        <v>0</v>
      </c>
      <c r="O18">
        <v>66</v>
      </c>
      <c r="P18">
        <v>27.3</v>
      </c>
      <c r="Q18">
        <v>0</v>
      </c>
      <c r="R18">
        <v>7.67</v>
      </c>
      <c r="S18">
        <v>20.52</v>
      </c>
      <c r="T18">
        <v>14.99</v>
      </c>
      <c r="U18">
        <v>1.89</v>
      </c>
      <c r="V18">
        <v>79</v>
      </c>
      <c r="W18">
        <v>0</v>
      </c>
      <c r="X18">
        <v>2</v>
      </c>
      <c r="Y18">
        <v>34.980000000000004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34.980000000000004</v>
      </c>
      <c r="AI18" t="s">
        <v>174</v>
      </c>
      <c r="AJ18" t="s">
        <v>37</v>
      </c>
      <c r="AK18">
        <v>0.7</v>
      </c>
    </row>
    <row r="19" spans="1:37" hidden="1" x14ac:dyDescent="0.3">
      <c r="A19" s="2">
        <v>45628</v>
      </c>
      <c r="B19" t="s">
        <v>328</v>
      </c>
      <c r="C19" t="s">
        <v>329</v>
      </c>
      <c r="D19">
        <v>73</v>
      </c>
      <c r="E19">
        <v>1</v>
      </c>
      <c r="F19">
        <v>0</v>
      </c>
      <c r="G19">
        <v>33.28</v>
      </c>
      <c r="H19">
        <v>0</v>
      </c>
      <c r="I19">
        <v>33.28</v>
      </c>
      <c r="J19">
        <v>751.58</v>
      </c>
      <c r="K19">
        <v>35.549999999999997</v>
      </c>
      <c r="L19">
        <v>0</v>
      </c>
      <c r="M19" t="s">
        <v>330</v>
      </c>
      <c r="N19">
        <v>5</v>
      </c>
      <c r="O19">
        <v>68</v>
      </c>
      <c r="P19">
        <v>30.37</v>
      </c>
      <c r="Q19">
        <v>0</v>
      </c>
      <c r="R19">
        <v>2.91</v>
      </c>
      <c r="S19">
        <v>0</v>
      </c>
      <c r="T19">
        <v>0</v>
      </c>
      <c r="U19">
        <v>2.19</v>
      </c>
      <c r="V19">
        <v>84</v>
      </c>
      <c r="W19">
        <v>0</v>
      </c>
      <c r="X19">
        <v>0</v>
      </c>
      <c r="Y19">
        <v>33.28</v>
      </c>
      <c r="Z19">
        <v>0</v>
      </c>
      <c r="AA19">
        <v>0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33.28</v>
      </c>
      <c r="AI19" t="s">
        <v>175</v>
      </c>
      <c r="AJ19" t="s">
        <v>48</v>
      </c>
      <c r="AK19">
        <v>0.7</v>
      </c>
    </row>
    <row r="20" spans="1:37" hidden="1" x14ac:dyDescent="0.3">
      <c r="A20" s="2">
        <v>45635</v>
      </c>
      <c r="B20" t="s">
        <v>328</v>
      </c>
      <c r="C20" t="s">
        <v>329</v>
      </c>
      <c r="D20">
        <v>56</v>
      </c>
      <c r="E20">
        <v>1</v>
      </c>
      <c r="F20">
        <v>1.4084507042253521E-2</v>
      </c>
      <c r="G20">
        <v>30.14</v>
      </c>
      <c r="H20">
        <v>0</v>
      </c>
      <c r="I20">
        <v>30.14</v>
      </c>
      <c r="J20">
        <v>637.97</v>
      </c>
      <c r="K20">
        <v>34.65</v>
      </c>
      <c r="L20">
        <v>0</v>
      </c>
      <c r="M20" t="s">
        <v>330</v>
      </c>
      <c r="N20">
        <v>6</v>
      </c>
      <c r="O20">
        <v>50</v>
      </c>
      <c r="P20">
        <v>26.87</v>
      </c>
      <c r="Q20">
        <v>0</v>
      </c>
      <c r="R20">
        <v>3.27</v>
      </c>
      <c r="S20">
        <v>0</v>
      </c>
      <c r="T20">
        <v>0</v>
      </c>
      <c r="U20">
        <v>1.86</v>
      </c>
      <c r="V20">
        <v>71</v>
      </c>
      <c r="W20">
        <v>0</v>
      </c>
      <c r="X20">
        <v>1</v>
      </c>
      <c r="Y20">
        <v>30.14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30.14</v>
      </c>
      <c r="AI20" t="s">
        <v>175</v>
      </c>
      <c r="AJ20" t="s">
        <v>48</v>
      </c>
      <c r="AK20">
        <v>0.7</v>
      </c>
    </row>
    <row r="21" spans="1:37" hidden="1" x14ac:dyDescent="0.3">
      <c r="A21" s="2">
        <v>45628</v>
      </c>
      <c r="B21" t="s">
        <v>348</v>
      </c>
      <c r="C21" t="s">
        <v>349</v>
      </c>
      <c r="D21">
        <v>89</v>
      </c>
      <c r="E21">
        <v>0.97979797979797978</v>
      </c>
      <c r="F21">
        <v>1.0309278350515464E-2</v>
      </c>
      <c r="G21">
        <v>51.29</v>
      </c>
      <c r="H21">
        <v>1.34</v>
      </c>
      <c r="I21">
        <v>49.949999999999996</v>
      </c>
      <c r="J21">
        <v>937.91</v>
      </c>
      <c r="K21">
        <v>46.79</v>
      </c>
      <c r="L21">
        <v>0</v>
      </c>
      <c r="M21" t="s">
        <v>350</v>
      </c>
      <c r="N21">
        <v>0</v>
      </c>
      <c r="O21">
        <v>89</v>
      </c>
      <c r="P21">
        <v>38.619999999999997</v>
      </c>
      <c r="Q21">
        <v>2</v>
      </c>
      <c r="R21">
        <v>11.33</v>
      </c>
      <c r="S21">
        <v>21.1</v>
      </c>
      <c r="T21">
        <v>18.940000000000001</v>
      </c>
      <c r="U21">
        <v>1.74</v>
      </c>
      <c r="V21">
        <v>97</v>
      </c>
      <c r="W21">
        <v>0</v>
      </c>
      <c r="X21">
        <v>1</v>
      </c>
      <c r="Y21">
        <v>49.949999999999996</v>
      </c>
      <c r="Z21">
        <v>0</v>
      </c>
      <c r="AA21">
        <v>0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49.949999999999996</v>
      </c>
      <c r="AI21" t="s">
        <v>176</v>
      </c>
      <c r="AJ21" t="s">
        <v>65</v>
      </c>
      <c r="AK21">
        <v>0.7</v>
      </c>
    </row>
    <row r="22" spans="1:37" hidden="1" x14ac:dyDescent="0.3">
      <c r="A22" s="2">
        <v>45635</v>
      </c>
      <c r="B22" t="s">
        <v>348</v>
      </c>
      <c r="C22" t="s">
        <v>349</v>
      </c>
      <c r="D22">
        <v>45</v>
      </c>
      <c r="E22">
        <v>0.9821428571428571</v>
      </c>
      <c r="F22">
        <v>0</v>
      </c>
      <c r="G22">
        <v>31.08</v>
      </c>
      <c r="H22">
        <v>3.27</v>
      </c>
      <c r="I22">
        <v>27.81</v>
      </c>
      <c r="J22">
        <v>520.04</v>
      </c>
      <c r="K22">
        <v>14.65</v>
      </c>
      <c r="L22">
        <v>0</v>
      </c>
      <c r="M22" t="s">
        <v>350</v>
      </c>
      <c r="N22">
        <v>0</v>
      </c>
      <c r="O22">
        <v>45</v>
      </c>
      <c r="P22">
        <v>21.93</v>
      </c>
      <c r="Q22">
        <v>1</v>
      </c>
      <c r="R22">
        <v>5.87</v>
      </c>
      <c r="S22">
        <v>18.43</v>
      </c>
      <c r="T22">
        <v>13.93</v>
      </c>
      <c r="U22">
        <v>1.45</v>
      </c>
      <c r="V22">
        <v>55</v>
      </c>
      <c r="W22">
        <v>0</v>
      </c>
      <c r="X22">
        <v>0</v>
      </c>
      <c r="Y22">
        <v>27.81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27.81</v>
      </c>
      <c r="AI22" t="s">
        <v>176</v>
      </c>
      <c r="AJ22" t="s">
        <v>65</v>
      </c>
      <c r="AK22">
        <v>0.7</v>
      </c>
    </row>
    <row r="23" spans="1:37" hidden="1" x14ac:dyDescent="0.3">
      <c r="A23" s="2">
        <v>45628</v>
      </c>
      <c r="B23" t="s">
        <v>325</v>
      </c>
      <c r="C23" t="s">
        <v>326</v>
      </c>
      <c r="D23">
        <v>34</v>
      </c>
      <c r="E23">
        <v>0.97435897435897434</v>
      </c>
      <c r="F23">
        <v>7.8947368421052627E-2</v>
      </c>
      <c r="G23">
        <v>25.36</v>
      </c>
      <c r="H23">
        <v>0.12</v>
      </c>
      <c r="I23">
        <v>25.24</v>
      </c>
      <c r="J23">
        <v>518.04</v>
      </c>
      <c r="K23">
        <v>34.450000000000003</v>
      </c>
      <c r="L23">
        <v>0</v>
      </c>
      <c r="M23" t="s">
        <v>327</v>
      </c>
      <c r="N23">
        <v>3</v>
      </c>
      <c r="O23">
        <v>31</v>
      </c>
      <c r="P23">
        <v>22.45</v>
      </c>
      <c r="Q23">
        <v>1</v>
      </c>
      <c r="R23">
        <v>2.79</v>
      </c>
      <c r="S23">
        <v>23.35</v>
      </c>
      <c r="T23">
        <v>20.87</v>
      </c>
      <c r="U23">
        <v>1.34</v>
      </c>
      <c r="V23">
        <v>38</v>
      </c>
      <c r="W23">
        <v>0</v>
      </c>
      <c r="X23">
        <v>3</v>
      </c>
      <c r="Y23">
        <v>0</v>
      </c>
      <c r="Z23">
        <v>0</v>
      </c>
      <c r="AA23">
        <v>25.24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0</v>
      </c>
      <c r="AI23" t="s">
        <v>177</v>
      </c>
      <c r="AJ23" t="s">
        <v>37</v>
      </c>
      <c r="AK23">
        <v>0.7</v>
      </c>
    </row>
    <row r="24" spans="1:37" hidden="1" x14ac:dyDescent="0.3">
      <c r="A24" s="2">
        <v>45635</v>
      </c>
      <c r="B24" t="s">
        <v>325</v>
      </c>
      <c r="C24" t="s">
        <v>326</v>
      </c>
      <c r="D24">
        <v>60</v>
      </c>
      <c r="E24">
        <v>0.98550724637681164</v>
      </c>
      <c r="F24">
        <v>0</v>
      </c>
      <c r="G24">
        <v>31.18</v>
      </c>
      <c r="H24">
        <v>0.04</v>
      </c>
      <c r="I24">
        <v>31.14</v>
      </c>
      <c r="J24">
        <v>719.32</v>
      </c>
      <c r="K24">
        <v>35.369999999999997</v>
      </c>
      <c r="L24">
        <v>0</v>
      </c>
      <c r="M24" t="s">
        <v>327</v>
      </c>
      <c r="N24">
        <v>0</v>
      </c>
      <c r="O24">
        <v>60</v>
      </c>
      <c r="P24">
        <v>27.65</v>
      </c>
      <c r="Q24">
        <v>1</v>
      </c>
      <c r="R24">
        <v>3.49</v>
      </c>
      <c r="S24">
        <v>22.33</v>
      </c>
      <c r="T24">
        <v>19.39</v>
      </c>
      <c r="U24">
        <v>1.92</v>
      </c>
      <c r="V24">
        <v>68</v>
      </c>
      <c r="W24">
        <v>0</v>
      </c>
      <c r="X24">
        <v>0</v>
      </c>
      <c r="Y24">
        <v>31.14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31.14</v>
      </c>
      <c r="AI24" t="s">
        <v>177</v>
      </c>
      <c r="AJ24" t="s">
        <v>37</v>
      </c>
      <c r="AK24">
        <v>0.7</v>
      </c>
    </row>
    <row r="25" spans="1:37" hidden="1" x14ac:dyDescent="0.3">
      <c r="A25" s="2">
        <v>45628</v>
      </c>
      <c r="B25" t="s">
        <v>336</v>
      </c>
      <c r="C25" t="s">
        <v>337</v>
      </c>
      <c r="D25">
        <v>44</v>
      </c>
      <c r="E25">
        <v>1</v>
      </c>
      <c r="F25">
        <v>0</v>
      </c>
      <c r="G25">
        <v>27.6</v>
      </c>
      <c r="H25">
        <v>0</v>
      </c>
      <c r="I25">
        <v>27.6</v>
      </c>
      <c r="J25">
        <v>474.17999999999898</v>
      </c>
      <c r="K25">
        <v>19</v>
      </c>
      <c r="L25">
        <v>0</v>
      </c>
      <c r="M25" t="s">
        <v>338</v>
      </c>
      <c r="N25">
        <v>6</v>
      </c>
      <c r="O25">
        <v>38</v>
      </c>
      <c r="P25">
        <v>20.03</v>
      </c>
      <c r="Q25">
        <v>0</v>
      </c>
      <c r="R25">
        <v>7.57</v>
      </c>
      <c r="S25">
        <v>14.42</v>
      </c>
      <c r="T25">
        <v>11.62</v>
      </c>
      <c r="U25">
        <v>1.59</v>
      </c>
      <c r="V25">
        <v>43</v>
      </c>
      <c r="W25">
        <v>0</v>
      </c>
      <c r="X25">
        <v>0</v>
      </c>
      <c r="Y25">
        <v>27.6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27.6</v>
      </c>
      <c r="AI25" t="s">
        <v>178</v>
      </c>
      <c r="AJ25" t="s">
        <v>48</v>
      </c>
      <c r="AK25">
        <v>0.7</v>
      </c>
    </row>
    <row r="26" spans="1:37" hidden="1" x14ac:dyDescent="0.3">
      <c r="A26" s="2">
        <v>45635</v>
      </c>
      <c r="B26" t="s">
        <v>336</v>
      </c>
      <c r="C26" t="s">
        <v>337</v>
      </c>
      <c r="D26">
        <v>44</v>
      </c>
      <c r="E26">
        <v>1</v>
      </c>
      <c r="F26">
        <v>6.0606060606060608E-2</v>
      </c>
      <c r="G26">
        <v>21.84</v>
      </c>
      <c r="H26">
        <v>0</v>
      </c>
      <c r="I26">
        <v>21.84</v>
      </c>
      <c r="J26">
        <v>434.31</v>
      </c>
      <c r="K26">
        <v>21</v>
      </c>
      <c r="L26">
        <v>0</v>
      </c>
      <c r="M26" t="s">
        <v>338</v>
      </c>
      <c r="N26">
        <v>3</v>
      </c>
      <c r="O26">
        <v>41</v>
      </c>
      <c r="P26">
        <v>17.649999999999999</v>
      </c>
      <c r="Q26">
        <v>0</v>
      </c>
      <c r="R26">
        <v>4.1900000000000004</v>
      </c>
      <c r="S26">
        <v>13.12</v>
      </c>
      <c r="T26">
        <v>10.34</v>
      </c>
      <c r="U26">
        <v>2.0099999999999998</v>
      </c>
      <c r="V26">
        <v>33</v>
      </c>
      <c r="W26">
        <v>0</v>
      </c>
      <c r="X26">
        <v>2</v>
      </c>
      <c r="Y26">
        <v>0</v>
      </c>
      <c r="Z26">
        <v>0</v>
      </c>
      <c r="AA26">
        <v>21.84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0</v>
      </c>
      <c r="AI26" t="s">
        <v>178</v>
      </c>
      <c r="AJ26" t="s">
        <v>48</v>
      </c>
      <c r="AK26">
        <v>0.7</v>
      </c>
    </row>
    <row r="27" spans="1:37" hidden="1" x14ac:dyDescent="0.3">
      <c r="A27" s="2">
        <v>45628</v>
      </c>
      <c r="B27" t="s">
        <v>339</v>
      </c>
      <c r="C27" t="s">
        <v>340</v>
      </c>
      <c r="D27">
        <v>77</v>
      </c>
      <c r="E27">
        <v>0.98701298701298701</v>
      </c>
      <c r="F27">
        <v>0</v>
      </c>
      <c r="G27">
        <v>41.65</v>
      </c>
      <c r="H27">
        <v>0.02</v>
      </c>
      <c r="I27">
        <v>41.629999999999995</v>
      </c>
      <c r="J27">
        <v>773.16</v>
      </c>
      <c r="K27">
        <v>69.16</v>
      </c>
      <c r="L27">
        <v>0</v>
      </c>
      <c r="M27" t="s">
        <v>341</v>
      </c>
      <c r="N27">
        <v>0</v>
      </c>
      <c r="O27">
        <v>77</v>
      </c>
      <c r="P27">
        <v>29.58</v>
      </c>
      <c r="Q27">
        <v>1</v>
      </c>
      <c r="R27">
        <v>12.06</v>
      </c>
      <c r="S27">
        <v>18.29</v>
      </c>
      <c r="T27">
        <v>13.83</v>
      </c>
      <c r="U27">
        <v>1.85</v>
      </c>
      <c r="V27">
        <v>76</v>
      </c>
      <c r="W27">
        <v>0</v>
      </c>
      <c r="X27">
        <v>0</v>
      </c>
      <c r="Y27">
        <v>41.629999999999995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41.629999999999995</v>
      </c>
      <c r="AI27" t="s">
        <v>180</v>
      </c>
      <c r="AJ27" t="s">
        <v>48</v>
      </c>
      <c r="AK27">
        <v>0.7</v>
      </c>
    </row>
    <row r="28" spans="1:37" hidden="1" x14ac:dyDescent="0.3">
      <c r="A28" s="2">
        <v>45635</v>
      </c>
      <c r="B28" t="s">
        <v>339</v>
      </c>
      <c r="C28" t="s">
        <v>340</v>
      </c>
      <c r="D28">
        <v>87</v>
      </c>
      <c r="E28">
        <v>1</v>
      </c>
      <c r="F28">
        <v>1.098901098901099E-2</v>
      </c>
      <c r="G28">
        <v>44.39</v>
      </c>
      <c r="H28">
        <v>0.12</v>
      </c>
      <c r="I28">
        <v>44.27</v>
      </c>
      <c r="J28">
        <v>814.62</v>
      </c>
      <c r="K28">
        <v>82.789999999999907</v>
      </c>
      <c r="L28">
        <v>0</v>
      </c>
      <c r="M28" t="s">
        <v>341</v>
      </c>
      <c r="N28">
        <v>3</v>
      </c>
      <c r="O28">
        <v>84</v>
      </c>
      <c r="P28">
        <v>34.64</v>
      </c>
      <c r="Q28">
        <v>0</v>
      </c>
      <c r="R28">
        <v>9.6300000000000008</v>
      </c>
      <c r="S28">
        <v>21.03</v>
      </c>
      <c r="T28">
        <v>17.43</v>
      </c>
      <c r="U28">
        <v>1.96</v>
      </c>
      <c r="V28">
        <v>91</v>
      </c>
      <c r="W28">
        <v>0</v>
      </c>
      <c r="X28">
        <v>1</v>
      </c>
      <c r="Y28">
        <v>44.27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44.27</v>
      </c>
      <c r="AI28" t="s">
        <v>180</v>
      </c>
      <c r="AJ28" t="s">
        <v>48</v>
      </c>
      <c r="AK28">
        <v>0.7</v>
      </c>
    </row>
    <row r="29" spans="1:37" hidden="1" x14ac:dyDescent="0.3">
      <c r="A29" s="2">
        <v>45628</v>
      </c>
      <c r="B29" t="s">
        <v>358</v>
      </c>
      <c r="C29" t="s">
        <v>359</v>
      </c>
      <c r="D29">
        <v>50</v>
      </c>
      <c r="E29">
        <v>0.90909090909090906</v>
      </c>
      <c r="F29">
        <v>0.02</v>
      </c>
      <c r="G29">
        <v>19.309999999999999</v>
      </c>
      <c r="H29">
        <v>0.01</v>
      </c>
      <c r="I29">
        <v>19.299999999999997</v>
      </c>
      <c r="J29">
        <v>457.409999999999</v>
      </c>
      <c r="K29">
        <v>33.89</v>
      </c>
      <c r="L29">
        <v>3</v>
      </c>
      <c r="M29" t="s">
        <v>360</v>
      </c>
      <c r="N29">
        <v>0</v>
      </c>
      <c r="O29">
        <v>50</v>
      </c>
      <c r="P29">
        <v>16.86</v>
      </c>
      <c r="Q29">
        <v>4</v>
      </c>
      <c r="R29">
        <v>2.44</v>
      </c>
      <c r="S29">
        <v>0</v>
      </c>
      <c r="T29">
        <v>0</v>
      </c>
      <c r="U29">
        <v>2.59</v>
      </c>
      <c r="V29">
        <v>50</v>
      </c>
      <c r="W29">
        <v>1</v>
      </c>
      <c r="X29">
        <v>1</v>
      </c>
      <c r="Y29">
        <v>0</v>
      </c>
      <c r="Z29">
        <v>0</v>
      </c>
      <c r="AA29">
        <v>19.299999999999997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182</v>
      </c>
      <c r="AJ29" t="s">
        <v>37</v>
      </c>
      <c r="AK29">
        <v>0.7</v>
      </c>
    </row>
    <row r="30" spans="1:37" hidden="1" x14ac:dyDescent="0.3">
      <c r="A30" s="2">
        <v>45635</v>
      </c>
      <c r="B30" t="s">
        <v>358</v>
      </c>
      <c r="C30" t="s">
        <v>359</v>
      </c>
      <c r="D30">
        <v>62</v>
      </c>
      <c r="E30">
        <v>0.98571428571428577</v>
      </c>
      <c r="F30">
        <v>0</v>
      </c>
      <c r="G30">
        <v>25.4</v>
      </c>
      <c r="H30">
        <v>0.01</v>
      </c>
      <c r="I30">
        <v>25.389999999999997</v>
      </c>
      <c r="J30">
        <v>662.43</v>
      </c>
      <c r="K30">
        <v>21.54</v>
      </c>
      <c r="L30">
        <v>0</v>
      </c>
      <c r="M30" t="s">
        <v>360</v>
      </c>
      <c r="N30">
        <v>0</v>
      </c>
      <c r="O30">
        <v>62</v>
      </c>
      <c r="P30">
        <v>24.38</v>
      </c>
      <c r="Q30">
        <v>1</v>
      </c>
      <c r="R30">
        <v>1.01</v>
      </c>
      <c r="S30">
        <v>0</v>
      </c>
      <c r="T30">
        <v>0</v>
      </c>
      <c r="U30">
        <v>2.44</v>
      </c>
      <c r="V30">
        <v>69</v>
      </c>
      <c r="W30">
        <v>0</v>
      </c>
      <c r="X30">
        <v>0</v>
      </c>
      <c r="Y30">
        <v>25.389999999999997</v>
      </c>
      <c r="Z30">
        <v>0</v>
      </c>
      <c r="AA30">
        <v>0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25.389999999999997</v>
      </c>
      <c r="AI30" t="s">
        <v>182</v>
      </c>
      <c r="AJ30" t="s">
        <v>37</v>
      </c>
      <c r="AK30">
        <v>0.7</v>
      </c>
    </row>
    <row r="31" spans="1:37" hidden="1" x14ac:dyDescent="0.3">
      <c r="A31" s="2">
        <v>45628</v>
      </c>
      <c r="B31" t="s">
        <v>351</v>
      </c>
      <c r="C31" t="s">
        <v>352</v>
      </c>
      <c r="D31">
        <v>101</v>
      </c>
      <c r="E31">
        <v>0.94308943089430897</v>
      </c>
      <c r="F31">
        <v>2.5862068965517241E-2</v>
      </c>
      <c r="G31">
        <v>46.85</v>
      </c>
      <c r="H31">
        <v>0.06</v>
      </c>
      <c r="I31">
        <v>46.79</v>
      </c>
      <c r="J31">
        <v>1125.83</v>
      </c>
      <c r="K31">
        <v>66.67</v>
      </c>
      <c r="L31">
        <v>0</v>
      </c>
      <c r="M31" t="s">
        <v>353</v>
      </c>
      <c r="N31">
        <v>0</v>
      </c>
      <c r="O31">
        <v>101</v>
      </c>
      <c r="P31">
        <v>41.61</v>
      </c>
      <c r="Q31">
        <v>5</v>
      </c>
      <c r="R31">
        <v>5.18</v>
      </c>
      <c r="S31">
        <v>10</v>
      </c>
      <c r="T31">
        <v>8.09</v>
      </c>
      <c r="U31">
        <v>2.16</v>
      </c>
      <c r="V31">
        <v>116</v>
      </c>
      <c r="W31">
        <v>2</v>
      </c>
      <c r="X31">
        <v>3</v>
      </c>
      <c r="Y31">
        <v>0</v>
      </c>
      <c r="Z31">
        <v>0</v>
      </c>
      <c r="AA31">
        <v>46.79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0</v>
      </c>
      <c r="AI31" t="s">
        <v>183</v>
      </c>
      <c r="AJ31" t="s">
        <v>65</v>
      </c>
      <c r="AK31">
        <v>0.7</v>
      </c>
    </row>
    <row r="32" spans="1:37" hidden="1" x14ac:dyDescent="0.3">
      <c r="A32" s="2">
        <v>45635</v>
      </c>
      <c r="B32" t="s">
        <v>351</v>
      </c>
      <c r="C32" t="s">
        <v>352</v>
      </c>
      <c r="D32">
        <v>48</v>
      </c>
      <c r="E32">
        <v>0.62195121951219512</v>
      </c>
      <c r="F32">
        <v>0</v>
      </c>
      <c r="G32">
        <v>25.71</v>
      </c>
      <c r="H32">
        <v>2.73</v>
      </c>
      <c r="I32">
        <v>22.98</v>
      </c>
      <c r="J32">
        <v>568.08999999999901</v>
      </c>
      <c r="K32">
        <v>15.92</v>
      </c>
      <c r="L32">
        <v>0</v>
      </c>
      <c r="M32" t="s">
        <v>353</v>
      </c>
      <c r="N32">
        <v>2</v>
      </c>
      <c r="O32">
        <v>46</v>
      </c>
      <c r="P32">
        <v>22.1</v>
      </c>
      <c r="Q32">
        <v>23</v>
      </c>
      <c r="R32">
        <v>0.88</v>
      </c>
      <c r="S32">
        <v>3.86</v>
      </c>
      <c r="T32">
        <v>3.6</v>
      </c>
      <c r="U32">
        <v>1.87</v>
      </c>
      <c r="V32">
        <v>51</v>
      </c>
      <c r="W32">
        <v>8</v>
      </c>
      <c r="X32">
        <v>0</v>
      </c>
      <c r="Y32">
        <v>0</v>
      </c>
      <c r="Z32">
        <v>0</v>
      </c>
      <c r="AA32">
        <v>22.98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183</v>
      </c>
      <c r="AJ32" t="s">
        <v>65</v>
      </c>
      <c r="AK32">
        <v>0.7</v>
      </c>
    </row>
    <row r="33" spans="1:37" hidden="1" x14ac:dyDescent="0.3">
      <c r="A33" s="2">
        <v>45628</v>
      </c>
      <c r="B33" t="s">
        <v>319</v>
      </c>
      <c r="C33" t="s">
        <v>331</v>
      </c>
      <c r="D33">
        <v>16</v>
      </c>
      <c r="E33">
        <v>1</v>
      </c>
      <c r="F33">
        <v>0.13043478260869565</v>
      </c>
      <c r="G33">
        <v>14.32</v>
      </c>
      <c r="H33">
        <v>1.31</v>
      </c>
      <c r="I33">
        <v>13.01</v>
      </c>
      <c r="J33">
        <v>248.98999999999899</v>
      </c>
      <c r="K33">
        <v>3</v>
      </c>
      <c r="L33">
        <v>0</v>
      </c>
      <c r="M33" t="s">
        <v>332</v>
      </c>
      <c r="N33">
        <v>0</v>
      </c>
      <c r="O33">
        <v>16</v>
      </c>
      <c r="P33">
        <v>10.84</v>
      </c>
      <c r="Q33">
        <v>0</v>
      </c>
      <c r="R33">
        <v>2.17</v>
      </c>
      <c r="S33">
        <v>0</v>
      </c>
      <c r="T33">
        <v>0</v>
      </c>
      <c r="U33">
        <v>1.1200000000000001</v>
      </c>
      <c r="V33">
        <v>23</v>
      </c>
      <c r="W33">
        <v>0</v>
      </c>
      <c r="X33">
        <v>3</v>
      </c>
      <c r="Y33">
        <v>0</v>
      </c>
      <c r="Z33">
        <v>0</v>
      </c>
      <c r="AA33">
        <v>13.01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0</v>
      </c>
      <c r="AI33" t="s">
        <v>184</v>
      </c>
      <c r="AJ33" t="s">
        <v>37</v>
      </c>
      <c r="AK33">
        <v>0.7</v>
      </c>
    </row>
    <row r="34" spans="1:37" hidden="1" x14ac:dyDescent="0.3">
      <c r="A34" s="2">
        <v>45635</v>
      </c>
      <c r="B34" t="s">
        <v>319</v>
      </c>
      <c r="C34" t="s">
        <v>331</v>
      </c>
      <c r="D34">
        <v>17</v>
      </c>
      <c r="E34">
        <v>0.92307692307692313</v>
      </c>
      <c r="F34">
        <v>4.1666666666666664E-2</v>
      </c>
      <c r="G34">
        <v>13.36</v>
      </c>
      <c r="H34">
        <v>0.23</v>
      </c>
      <c r="I34">
        <v>13.129999999999999</v>
      </c>
      <c r="J34">
        <v>242.70999999999901</v>
      </c>
      <c r="K34">
        <v>15.68</v>
      </c>
      <c r="L34">
        <v>0</v>
      </c>
      <c r="M34" t="s">
        <v>332</v>
      </c>
      <c r="N34">
        <v>0</v>
      </c>
      <c r="O34">
        <v>17</v>
      </c>
      <c r="P34">
        <v>11.28</v>
      </c>
      <c r="Q34">
        <v>2</v>
      </c>
      <c r="R34">
        <v>1.86</v>
      </c>
      <c r="S34">
        <v>0</v>
      </c>
      <c r="T34">
        <v>0</v>
      </c>
      <c r="U34">
        <v>1.27</v>
      </c>
      <c r="V34">
        <v>24</v>
      </c>
      <c r="W34">
        <v>0</v>
      </c>
      <c r="X34">
        <v>1</v>
      </c>
      <c r="Y34">
        <v>0</v>
      </c>
      <c r="Z34">
        <v>13.129999999999999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13.129999999999999</v>
      </c>
      <c r="AI34" t="s">
        <v>184</v>
      </c>
      <c r="AJ34" t="s">
        <v>37</v>
      </c>
      <c r="AK34">
        <v>0.7</v>
      </c>
    </row>
    <row r="35" spans="1:37" hidden="1" x14ac:dyDescent="0.3">
      <c r="A35" s="2">
        <v>45628</v>
      </c>
      <c r="B35" t="s">
        <v>333</v>
      </c>
      <c r="C35" t="s">
        <v>334</v>
      </c>
      <c r="D35">
        <v>78</v>
      </c>
      <c r="E35">
        <v>1</v>
      </c>
      <c r="F35">
        <v>2.3809523809523808E-2</v>
      </c>
      <c r="G35">
        <v>32.119999999999997</v>
      </c>
      <c r="H35">
        <v>0</v>
      </c>
      <c r="I35">
        <v>32.119999999999997</v>
      </c>
      <c r="J35">
        <v>789.56</v>
      </c>
      <c r="K35">
        <v>17.04</v>
      </c>
      <c r="L35">
        <v>0</v>
      </c>
      <c r="M35" t="s">
        <v>335</v>
      </c>
      <c r="N35">
        <v>0</v>
      </c>
      <c r="O35">
        <v>78</v>
      </c>
      <c r="P35">
        <v>31.49</v>
      </c>
      <c r="Q35">
        <v>0</v>
      </c>
      <c r="R35">
        <v>0.62</v>
      </c>
      <c r="S35">
        <v>0</v>
      </c>
      <c r="T35">
        <v>0</v>
      </c>
      <c r="U35">
        <v>2.4300000000000002</v>
      </c>
      <c r="V35">
        <v>84</v>
      </c>
      <c r="W35">
        <v>0</v>
      </c>
      <c r="X35">
        <v>2</v>
      </c>
      <c r="Y35">
        <v>32.119999999999997</v>
      </c>
      <c r="Z35">
        <v>0</v>
      </c>
      <c r="AA35">
        <v>0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32.119999999999997</v>
      </c>
      <c r="AI35" t="s">
        <v>185</v>
      </c>
      <c r="AJ35" t="s">
        <v>37</v>
      </c>
      <c r="AK35">
        <v>0.7</v>
      </c>
    </row>
    <row r="36" spans="1:37" hidden="1" x14ac:dyDescent="0.3">
      <c r="A36" s="2">
        <v>45635</v>
      </c>
      <c r="B36" t="s">
        <v>333</v>
      </c>
      <c r="C36" t="s">
        <v>334</v>
      </c>
      <c r="D36">
        <v>119</v>
      </c>
      <c r="E36">
        <v>1</v>
      </c>
      <c r="F36">
        <v>0</v>
      </c>
      <c r="G36">
        <v>46.21</v>
      </c>
      <c r="H36">
        <v>0</v>
      </c>
      <c r="I36">
        <v>46.21</v>
      </c>
      <c r="J36">
        <v>1113.4299999999901</v>
      </c>
      <c r="K36">
        <v>15.6</v>
      </c>
      <c r="L36">
        <v>0</v>
      </c>
      <c r="M36" t="s">
        <v>335</v>
      </c>
      <c r="N36">
        <v>0</v>
      </c>
      <c r="O36">
        <v>119</v>
      </c>
      <c r="P36">
        <v>45.55</v>
      </c>
      <c r="Q36">
        <v>0</v>
      </c>
      <c r="R36">
        <v>0.66</v>
      </c>
      <c r="S36">
        <v>1.67</v>
      </c>
      <c r="T36">
        <v>1.67</v>
      </c>
      <c r="U36">
        <v>2.58</v>
      </c>
      <c r="V36">
        <v>141</v>
      </c>
      <c r="W36">
        <v>0</v>
      </c>
      <c r="X36">
        <v>0</v>
      </c>
      <c r="Y36">
        <v>46.21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46.21</v>
      </c>
      <c r="AI36" t="s">
        <v>185</v>
      </c>
      <c r="AJ36" t="s">
        <v>37</v>
      </c>
      <c r="AK36">
        <v>0.7</v>
      </c>
    </row>
    <row r="37" spans="1:37" hidden="1" x14ac:dyDescent="0.3">
      <c r="A37" s="2">
        <v>45628</v>
      </c>
      <c r="B37" t="s">
        <v>342</v>
      </c>
      <c r="C37" t="s">
        <v>343</v>
      </c>
      <c r="D37">
        <v>30</v>
      </c>
      <c r="E37">
        <v>0.31182795698924731</v>
      </c>
      <c r="F37">
        <v>0</v>
      </c>
      <c r="G37">
        <v>19.7</v>
      </c>
      <c r="H37">
        <v>0.15</v>
      </c>
      <c r="I37">
        <v>19.55</v>
      </c>
      <c r="J37">
        <v>343.99</v>
      </c>
      <c r="K37">
        <v>14</v>
      </c>
      <c r="L37">
        <v>9.65</v>
      </c>
      <c r="M37" t="s">
        <v>344</v>
      </c>
      <c r="N37">
        <v>0</v>
      </c>
      <c r="O37">
        <v>30</v>
      </c>
      <c r="P37">
        <v>12.17</v>
      </c>
      <c r="Q37">
        <v>64</v>
      </c>
      <c r="R37">
        <v>7.38</v>
      </c>
      <c r="S37">
        <v>1.17</v>
      </c>
      <c r="T37">
        <v>0</v>
      </c>
      <c r="U37">
        <v>1.52</v>
      </c>
      <c r="V37">
        <v>29</v>
      </c>
      <c r="W37">
        <v>0</v>
      </c>
      <c r="X37">
        <v>0</v>
      </c>
      <c r="Y37">
        <v>0</v>
      </c>
      <c r="Z37">
        <v>0</v>
      </c>
      <c r="AA37">
        <v>19.55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0</v>
      </c>
      <c r="AI37" t="s">
        <v>186</v>
      </c>
      <c r="AJ37" t="s">
        <v>48</v>
      </c>
      <c r="AK37">
        <v>0.7</v>
      </c>
    </row>
    <row r="38" spans="1:37" hidden="1" x14ac:dyDescent="0.3">
      <c r="A38" s="2">
        <v>45635</v>
      </c>
      <c r="B38" t="s">
        <v>342</v>
      </c>
      <c r="C38" t="s">
        <v>343</v>
      </c>
      <c r="D38">
        <v>45</v>
      </c>
      <c r="E38">
        <v>0.64102564102564108</v>
      </c>
      <c r="F38">
        <v>0.02</v>
      </c>
      <c r="G38">
        <v>25.72</v>
      </c>
      <c r="H38">
        <v>0</v>
      </c>
      <c r="I38">
        <v>25.72</v>
      </c>
      <c r="J38">
        <v>449.23</v>
      </c>
      <c r="K38">
        <v>30</v>
      </c>
      <c r="L38">
        <v>0</v>
      </c>
      <c r="M38" t="s">
        <v>344</v>
      </c>
      <c r="N38">
        <v>6</v>
      </c>
      <c r="O38">
        <v>39</v>
      </c>
      <c r="P38">
        <v>18.57</v>
      </c>
      <c r="Q38">
        <v>28</v>
      </c>
      <c r="R38">
        <v>7.15</v>
      </c>
      <c r="S38">
        <v>0</v>
      </c>
      <c r="T38">
        <v>0</v>
      </c>
      <c r="U38">
        <v>1.75</v>
      </c>
      <c r="V38">
        <v>50</v>
      </c>
      <c r="W38">
        <v>0</v>
      </c>
      <c r="X38">
        <v>1</v>
      </c>
      <c r="Y38">
        <v>0</v>
      </c>
      <c r="Z38">
        <v>0</v>
      </c>
      <c r="AA38">
        <v>25.72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0</v>
      </c>
      <c r="AI38" t="s">
        <v>186</v>
      </c>
      <c r="AJ38" t="s">
        <v>48</v>
      </c>
      <c r="AK38">
        <v>0.7</v>
      </c>
    </row>
    <row r="39" spans="1:37" hidden="1" x14ac:dyDescent="0.3">
      <c r="A39" s="2">
        <v>45628</v>
      </c>
      <c r="B39" t="s">
        <v>187</v>
      </c>
      <c r="C39" t="s">
        <v>188</v>
      </c>
      <c r="D39">
        <v>107</v>
      </c>
      <c r="E39">
        <v>0.8978102189781022</v>
      </c>
      <c r="F39">
        <v>3.2520325203252036E-2</v>
      </c>
      <c r="G39">
        <v>45.45</v>
      </c>
      <c r="H39">
        <v>0.01</v>
      </c>
      <c r="I39">
        <v>45.440000000000005</v>
      </c>
      <c r="J39">
        <v>1207.52</v>
      </c>
      <c r="K39">
        <v>32.450000000000003</v>
      </c>
      <c r="L39">
        <v>0</v>
      </c>
      <c r="M39" t="s">
        <v>354</v>
      </c>
      <c r="N39">
        <v>0</v>
      </c>
      <c r="O39">
        <v>107</v>
      </c>
      <c r="P39">
        <v>43.47</v>
      </c>
      <c r="Q39">
        <v>2</v>
      </c>
      <c r="R39">
        <v>1.97</v>
      </c>
      <c r="S39">
        <v>22.36</v>
      </c>
      <c r="T39">
        <v>21.54</v>
      </c>
      <c r="U39">
        <v>2.35</v>
      </c>
      <c r="V39">
        <v>123</v>
      </c>
      <c r="W39">
        <v>12</v>
      </c>
      <c r="X39">
        <v>4</v>
      </c>
      <c r="Y39">
        <v>0</v>
      </c>
      <c r="Z39">
        <v>0</v>
      </c>
      <c r="AA39">
        <v>45.440000000000005</v>
      </c>
      <c r="AB39" t="s">
        <v>12</v>
      </c>
      <c r="AC39">
        <v>70</v>
      </c>
      <c r="AD39">
        <v>20</v>
      </c>
      <c r="AE39">
        <v>0.1</v>
      </c>
      <c r="AF39">
        <v>0.05</v>
      </c>
      <c r="AH39">
        <v>0</v>
      </c>
      <c r="AI39" t="s">
        <v>189</v>
      </c>
      <c r="AJ39" t="s">
        <v>44</v>
      </c>
      <c r="AK39">
        <v>0.7</v>
      </c>
    </row>
    <row r="40" spans="1:37" hidden="1" x14ac:dyDescent="0.3">
      <c r="A40" s="2">
        <v>45635</v>
      </c>
      <c r="B40" t="s">
        <v>187</v>
      </c>
      <c r="C40" t="s">
        <v>188</v>
      </c>
      <c r="D40">
        <v>70</v>
      </c>
      <c r="E40">
        <v>1</v>
      </c>
      <c r="F40">
        <v>1.2500000000000001E-2</v>
      </c>
      <c r="G40">
        <v>30.72</v>
      </c>
      <c r="H40">
        <v>0.01</v>
      </c>
      <c r="I40">
        <v>30.709999999999997</v>
      </c>
      <c r="J40">
        <v>770.65999999999883</v>
      </c>
      <c r="K40">
        <v>13.99</v>
      </c>
      <c r="L40">
        <v>0</v>
      </c>
      <c r="M40" t="s">
        <v>354</v>
      </c>
      <c r="N40">
        <v>0</v>
      </c>
      <c r="O40">
        <v>70</v>
      </c>
      <c r="P40">
        <v>29.57</v>
      </c>
      <c r="Q40">
        <v>0</v>
      </c>
      <c r="R40">
        <v>1.1399999999999999</v>
      </c>
      <c r="S40">
        <v>13.99</v>
      </c>
      <c r="T40">
        <v>13.67</v>
      </c>
      <c r="U40">
        <v>2.2799999999999998</v>
      </c>
      <c r="V40">
        <v>80</v>
      </c>
      <c r="W40">
        <v>0</v>
      </c>
      <c r="X40">
        <v>1</v>
      </c>
      <c r="Y40">
        <v>30.709999999999997</v>
      </c>
      <c r="Z40">
        <v>0</v>
      </c>
      <c r="AA40">
        <v>0</v>
      </c>
      <c r="AB40" t="s">
        <v>13</v>
      </c>
      <c r="AC40">
        <v>70</v>
      </c>
      <c r="AD40">
        <v>20</v>
      </c>
      <c r="AE40">
        <v>0.1</v>
      </c>
      <c r="AF40">
        <v>0.05</v>
      </c>
      <c r="AH40">
        <v>30.709999999999997</v>
      </c>
      <c r="AI40" t="s">
        <v>189</v>
      </c>
      <c r="AJ40" t="s">
        <v>44</v>
      </c>
      <c r="AK40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workbookViewId="0">
      <selection activeCell="D4" sqref="D4:E13"/>
    </sheetView>
  </sheetViews>
  <sheetFormatPr defaultRowHeight="14.4" x14ac:dyDescent="0.3"/>
  <cols>
    <col min="1" max="1" width="29.6640625" bestFit="1" customWidth="1"/>
    <col min="2" max="2" width="14.88671875" bestFit="1" customWidth="1"/>
    <col min="3" max="3" width="23.109375" bestFit="1" customWidth="1"/>
    <col min="4" max="5" width="22" bestFit="1" customWidth="1"/>
    <col min="6" max="6" width="14.44140625" customWidth="1"/>
  </cols>
  <sheetData>
    <row r="3" spans="1:6" x14ac:dyDescent="0.3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373</v>
      </c>
    </row>
    <row r="4" spans="1:6" x14ac:dyDescent="0.3">
      <c r="A4" t="s">
        <v>34</v>
      </c>
      <c r="B4" t="s">
        <v>12</v>
      </c>
      <c r="C4">
        <v>50.03</v>
      </c>
      <c r="D4">
        <v>50</v>
      </c>
      <c r="E4">
        <v>0</v>
      </c>
      <c r="F4" s="97">
        <v>0</v>
      </c>
    </row>
    <row r="5" spans="1:6" x14ac:dyDescent="0.3">
      <c r="A5" t="s">
        <v>34</v>
      </c>
      <c r="B5" t="s">
        <v>13</v>
      </c>
      <c r="C5">
        <v>40.159999999999997</v>
      </c>
      <c r="D5">
        <v>40.159999999999997</v>
      </c>
      <c r="E5">
        <v>0</v>
      </c>
      <c r="F5" s="97">
        <f t="shared" ref="F5:F13" si="0">+C5-D5-E5</f>
        <v>0</v>
      </c>
    </row>
    <row r="6" spans="1:6" x14ac:dyDescent="0.3">
      <c r="A6" t="s">
        <v>37</v>
      </c>
      <c r="B6" t="s">
        <v>12</v>
      </c>
      <c r="C6">
        <v>176.70999999999998</v>
      </c>
      <c r="D6">
        <v>140</v>
      </c>
      <c r="E6">
        <v>36.70999999999998</v>
      </c>
      <c r="F6" s="97">
        <f t="shared" si="0"/>
        <v>0</v>
      </c>
    </row>
    <row r="7" spans="1:6" x14ac:dyDescent="0.3">
      <c r="A7" t="s">
        <v>37</v>
      </c>
      <c r="B7" t="s">
        <v>13</v>
      </c>
      <c r="C7">
        <v>210.14000000000001</v>
      </c>
      <c r="D7">
        <v>140</v>
      </c>
      <c r="E7">
        <v>70</v>
      </c>
      <c r="F7" s="97">
        <v>0</v>
      </c>
    </row>
    <row r="8" spans="1:6" x14ac:dyDescent="0.3">
      <c r="A8" t="s">
        <v>44</v>
      </c>
      <c r="B8" t="s">
        <v>12</v>
      </c>
      <c r="C8">
        <v>45.440000000000005</v>
      </c>
      <c r="D8">
        <v>45.440000000000005</v>
      </c>
      <c r="E8">
        <v>0</v>
      </c>
      <c r="F8" s="97">
        <f t="shared" si="0"/>
        <v>0</v>
      </c>
    </row>
    <row r="9" spans="1:6" x14ac:dyDescent="0.3">
      <c r="A9" t="s">
        <v>44</v>
      </c>
      <c r="B9" t="s">
        <v>13</v>
      </c>
      <c r="C9">
        <v>30.709999999999997</v>
      </c>
      <c r="D9">
        <v>30.709999999999997</v>
      </c>
      <c r="E9">
        <v>0</v>
      </c>
      <c r="F9" s="97">
        <f t="shared" si="0"/>
        <v>0</v>
      </c>
    </row>
    <row r="10" spans="1:6" x14ac:dyDescent="0.3">
      <c r="A10" t="s">
        <v>48</v>
      </c>
      <c r="B10" t="s">
        <v>12</v>
      </c>
      <c r="C10">
        <v>211.94000000000003</v>
      </c>
      <c r="D10">
        <v>140</v>
      </c>
      <c r="E10">
        <v>71.940000000000026</v>
      </c>
      <c r="F10" s="97">
        <f t="shared" si="0"/>
        <v>0</v>
      </c>
    </row>
    <row r="11" spans="1:6" x14ac:dyDescent="0.3">
      <c r="A11" t="s">
        <v>48</v>
      </c>
      <c r="B11" t="s">
        <v>13</v>
      </c>
      <c r="C11">
        <v>222.6</v>
      </c>
      <c r="D11">
        <v>140</v>
      </c>
      <c r="E11">
        <v>80</v>
      </c>
      <c r="F11" s="97">
        <f t="shared" si="0"/>
        <v>2.5999999999999943</v>
      </c>
    </row>
    <row r="12" spans="1:6" x14ac:dyDescent="0.3">
      <c r="A12" t="s">
        <v>65</v>
      </c>
      <c r="B12" t="s">
        <v>12</v>
      </c>
      <c r="C12">
        <v>96.74</v>
      </c>
      <c r="D12">
        <v>70</v>
      </c>
      <c r="E12">
        <v>26.739999999999995</v>
      </c>
      <c r="F12" s="97">
        <f t="shared" si="0"/>
        <v>0</v>
      </c>
    </row>
    <row r="13" spans="1:6" x14ac:dyDescent="0.3">
      <c r="A13" t="s">
        <v>65</v>
      </c>
      <c r="B13" t="s">
        <v>13</v>
      </c>
      <c r="C13">
        <v>55.01</v>
      </c>
      <c r="D13">
        <v>55.01</v>
      </c>
      <c r="E13">
        <v>0</v>
      </c>
      <c r="F13" s="97">
        <f t="shared" si="0"/>
        <v>0</v>
      </c>
    </row>
    <row r="14" spans="1:6" x14ac:dyDescent="0.3">
      <c r="A14" t="s">
        <v>361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K11"/>
  <sheetViews>
    <sheetView workbookViewId="0">
      <selection activeCell="C7" sqref="C7:C11"/>
    </sheetView>
  </sheetViews>
  <sheetFormatPr defaultRowHeight="14.4" x14ac:dyDescent="0.3"/>
  <cols>
    <col min="1" max="1" width="10" bestFit="1" customWidth="1"/>
    <col min="2" max="2" width="18" bestFit="1" customWidth="1"/>
    <col min="3" max="3" width="14.88671875" bestFit="1" customWidth="1"/>
    <col min="4" max="4" width="23.109375" bestFit="1" customWidth="1"/>
    <col min="5" max="5" width="22" bestFit="1" customWidth="1"/>
    <col min="6" max="6" width="24" bestFit="1" customWidth="1"/>
    <col min="7" max="7" width="16.88671875" bestFit="1" customWidth="1"/>
    <col min="8" max="8" width="18.109375" bestFit="1" customWidth="1"/>
    <col min="9" max="11" width="15.44140625" bestFit="1" customWidth="1"/>
    <col min="12" max="12" width="18" bestFit="1" customWidth="1"/>
    <col min="13" max="13" width="18.88671875" bestFit="1" customWidth="1"/>
    <col min="14" max="15" width="22.44140625" bestFit="1" customWidth="1"/>
    <col min="16" max="16" width="14.109375" bestFit="1" customWidth="1"/>
    <col min="17" max="17" width="16.44140625" bestFit="1" customWidth="1"/>
    <col min="18" max="18" width="12.6640625" bestFit="1" customWidth="1"/>
    <col min="19" max="19" width="7.44140625" bestFit="1" customWidth="1"/>
    <col min="20" max="20" width="14" bestFit="1" customWidth="1"/>
    <col min="21" max="21" width="11.44140625" bestFit="1" customWidth="1"/>
    <col min="22" max="22" width="22.5546875" bestFit="1" customWidth="1"/>
    <col min="23" max="23" width="11.44140625" bestFit="1" customWidth="1"/>
    <col min="24" max="24" width="10" bestFit="1" customWidth="1"/>
    <col min="25" max="25" width="21.109375" bestFit="1" customWidth="1"/>
    <col min="26" max="27" width="18.5546875" bestFit="1" customWidth="1"/>
    <col min="28" max="28" width="22" bestFit="1" customWidth="1"/>
    <col min="29" max="29" width="22.6640625" bestFit="1" customWidth="1"/>
    <col min="30" max="30" width="9.6640625" bestFit="1" customWidth="1"/>
    <col min="31" max="31" width="29.6640625" bestFit="1" customWidth="1"/>
    <col min="32" max="32" width="18.109375" bestFit="1" customWidth="1"/>
    <col min="33" max="33" width="20" bestFit="1" customWidth="1"/>
    <col min="34" max="34" width="15.44140625" bestFit="1" customWidth="1"/>
    <col min="35" max="35" width="12.5546875" bestFit="1" customWidth="1"/>
    <col min="36" max="36" width="16.88671875" bestFit="1" customWidth="1"/>
    <col min="37" max="37" width="16" bestFit="1" customWidth="1"/>
    <col min="38" max="38" width="13.6640625" bestFit="1" customWidth="1"/>
    <col min="39" max="39" width="24.6640625" bestFit="1" customWidth="1"/>
    <col min="40" max="40" width="20.6640625" bestFit="1" customWidth="1"/>
    <col min="41" max="41" width="16.6640625" bestFit="1" customWidth="1"/>
    <col min="42" max="42" width="15" bestFit="1" customWidth="1"/>
    <col min="43" max="43" width="14.5546875" bestFit="1" customWidth="1"/>
    <col min="44" max="44" width="14.88671875" bestFit="1" customWidth="1"/>
    <col min="45" max="45" width="11.6640625" bestFit="1" customWidth="1"/>
    <col min="46" max="46" width="11.5546875" bestFit="1" customWidth="1"/>
    <col min="47" max="48" width="19.88671875" bestFit="1" customWidth="1"/>
    <col min="49" max="49" width="18.6640625" bestFit="1" customWidth="1"/>
    <col min="50" max="50" width="7.33203125" bestFit="1" customWidth="1"/>
    <col min="51" max="51" width="13.109375" bestFit="1" customWidth="1"/>
    <col min="52" max="52" width="11.88671875" bestFit="1" customWidth="1"/>
    <col min="53" max="55" width="11.5546875" bestFit="1" customWidth="1"/>
    <col min="56" max="58" width="16.109375" bestFit="1" customWidth="1"/>
    <col min="59" max="59" width="26.109375" bestFit="1" customWidth="1"/>
    <col min="60" max="60" width="15.5546875" bestFit="1" customWidth="1"/>
    <col min="61" max="61" width="14.33203125" bestFit="1" customWidth="1"/>
    <col min="62" max="62" width="17.44140625" bestFit="1" customWidth="1"/>
    <col min="63" max="63" width="24.88671875" bestFit="1" customWidth="1"/>
    <col min="64" max="64" width="16.88671875" customWidth="1"/>
    <col min="65" max="65" width="7" bestFit="1" customWidth="1"/>
    <col min="66" max="66" width="10.109375" bestFit="1" customWidth="1"/>
    <col min="67" max="67" width="9.5546875" bestFit="1" customWidth="1"/>
    <col min="68" max="68" width="18" bestFit="1" customWidth="1"/>
    <col min="69" max="69" width="11.33203125" bestFit="1" customWidth="1"/>
    <col min="70" max="71" width="17.6640625" bestFit="1" customWidth="1"/>
    <col min="72" max="72" width="16.6640625" bestFit="1" customWidth="1"/>
    <col min="73" max="73" width="14" bestFit="1" customWidth="1"/>
    <col min="74" max="74" width="17.33203125" bestFit="1" customWidth="1"/>
    <col min="75" max="75" width="16.33203125" bestFit="1" customWidth="1"/>
    <col min="76" max="76" width="14.6640625" bestFit="1" customWidth="1"/>
    <col min="77" max="77" width="13.6640625" bestFit="1" customWidth="1"/>
    <col min="78" max="78" width="10.6640625" bestFit="1" customWidth="1"/>
    <col min="79" max="79" width="15.6640625" bestFit="1" customWidth="1"/>
    <col min="80" max="80" width="15.33203125" bestFit="1" customWidth="1"/>
    <col min="81" max="81" width="17.44140625" bestFit="1" customWidth="1"/>
    <col min="82" max="82" width="10.88671875" bestFit="1" customWidth="1"/>
    <col min="83" max="83" width="11.6640625" bestFit="1" customWidth="1"/>
  </cols>
  <sheetData>
    <row r="1" spans="1:63" x14ac:dyDescent="0.3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125</v>
      </c>
      <c r="M1" t="s">
        <v>126</v>
      </c>
      <c r="N1" t="s">
        <v>196</v>
      </c>
      <c r="O1" t="s">
        <v>197</v>
      </c>
      <c r="P1" t="s">
        <v>127</v>
      </c>
      <c r="Q1" t="s">
        <v>128</v>
      </c>
      <c r="R1" t="s">
        <v>129</v>
      </c>
      <c r="S1" t="s">
        <v>24</v>
      </c>
      <c r="T1" t="s">
        <v>198</v>
      </c>
      <c r="U1" t="s">
        <v>131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207</v>
      </c>
      <c r="AN1" t="s">
        <v>208</v>
      </c>
      <c r="AO1" t="s">
        <v>209</v>
      </c>
      <c r="AP1" t="s">
        <v>210</v>
      </c>
      <c r="AQ1" t="s">
        <v>211</v>
      </c>
      <c r="AR1" t="s">
        <v>212</v>
      </c>
      <c r="AS1" t="s">
        <v>164</v>
      </c>
      <c r="AT1" t="s">
        <v>213</v>
      </c>
      <c r="AU1" t="s">
        <v>8</v>
      </c>
      <c r="AV1" t="s">
        <v>9</v>
      </c>
      <c r="AW1" t="s">
        <v>7</v>
      </c>
      <c r="AX1" t="s">
        <v>214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</row>
    <row r="2" spans="1:63" x14ac:dyDescent="0.3">
      <c r="A2" t="s">
        <v>12</v>
      </c>
      <c r="B2">
        <v>50</v>
      </c>
      <c r="C2">
        <v>50.03</v>
      </c>
      <c r="D2">
        <v>50</v>
      </c>
      <c r="E2">
        <v>0</v>
      </c>
      <c r="F2">
        <v>1</v>
      </c>
      <c r="G2">
        <v>1022.125</v>
      </c>
      <c r="H2">
        <v>0</v>
      </c>
      <c r="I2">
        <v>314.5</v>
      </c>
      <c r="J2">
        <v>0</v>
      </c>
      <c r="K2">
        <v>0</v>
      </c>
      <c r="L2">
        <v>1</v>
      </c>
      <c r="M2">
        <v>2.04081632653061E-2</v>
      </c>
      <c r="N2">
        <v>157.25</v>
      </c>
      <c r="O2">
        <v>0</v>
      </c>
      <c r="P2">
        <v>0.92584449330401797</v>
      </c>
      <c r="Q2">
        <v>78.625</v>
      </c>
      <c r="R2">
        <v>59</v>
      </c>
      <c r="S2">
        <v>0</v>
      </c>
      <c r="T2">
        <v>0</v>
      </c>
      <c r="U2">
        <v>1631.5</v>
      </c>
      <c r="V2">
        <v>50</v>
      </c>
      <c r="W2">
        <v>50</v>
      </c>
      <c r="X2">
        <v>314.5</v>
      </c>
      <c r="Y2">
        <v>0</v>
      </c>
      <c r="Z2">
        <v>50</v>
      </c>
      <c r="AA2">
        <v>0</v>
      </c>
      <c r="AB2">
        <v>157.25</v>
      </c>
      <c r="AC2">
        <v>0</v>
      </c>
      <c r="AD2" s="2">
        <v>45628</v>
      </c>
      <c r="AE2" t="s">
        <v>34</v>
      </c>
      <c r="AF2">
        <v>131</v>
      </c>
      <c r="AG2">
        <v>50.03</v>
      </c>
      <c r="AH2">
        <v>0</v>
      </c>
      <c r="AI2">
        <v>0</v>
      </c>
      <c r="AJ2">
        <v>131</v>
      </c>
      <c r="AK2">
        <v>46.32</v>
      </c>
      <c r="AL2">
        <v>3.71</v>
      </c>
      <c r="AM2">
        <v>0.99</v>
      </c>
      <c r="AN2">
        <v>0.99</v>
      </c>
      <c r="AO2">
        <v>2.62</v>
      </c>
      <c r="AP2">
        <v>147</v>
      </c>
      <c r="AQ2">
        <v>0</v>
      </c>
      <c r="AR2">
        <v>3</v>
      </c>
      <c r="AS2">
        <v>50.03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20</v>
      </c>
      <c r="BJ2">
        <v>0</v>
      </c>
      <c r="BK2">
        <v>1228.3800000000001</v>
      </c>
    </row>
    <row r="3" spans="1:63" x14ac:dyDescent="0.3">
      <c r="A3" t="s">
        <v>12</v>
      </c>
      <c r="B3">
        <v>220</v>
      </c>
      <c r="C3">
        <v>211.94000000000003</v>
      </c>
      <c r="D3">
        <v>140</v>
      </c>
      <c r="E3">
        <v>71.940000000000026</v>
      </c>
      <c r="F3">
        <v>0.96336363636363598</v>
      </c>
      <c r="G3">
        <v>2866.5</v>
      </c>
      <c r="H3">
        <v>1917.201</v>
      </c>
      <c r="I3">
        <v>0</v>
      </c>
      <c r="J3">
        <v>735.95400000000018</v>
      </c>
      <c r="K3">
        <v>0</v>
      </c>
      <c r="L3">
        <v>0.70104895104895104</v>
      </c>
      <c r="M3">
        <v>4.9875311720698201E-3</v>
      </c>
      <c r="N3">
        <v>0</v>
      </c>
      <c r="O3">
        <v>0</v>
      </c>
      <c r="P3">
        <v>0.758752477116165</v>
      </c>
      <c r="Q3">
        <v>367.97699999999998</v>
      </c>
      <c r="R3">
        <v>180.33</v>
      </c>
      <c r="S3">
        <v>9.65</v>
      </c>
      <c r="T3">
        <v>0</v>
      </c>
      <c r="U3">
        <v>6077.6120000000001</v>
      </c>
      <c r="V3">
        <v>211.94000000000003</v>
      </c>
      <c r="W3">
        <v>220</v>
      </c>
      <c r="X3">
        <v>735.95399999999995</v>
      </c>
      <c r="Y3">
        <v>167</v>
      </c>
      <c r="Z3">
        <v>0</v>
      </c>
      <c r="AA3">
        <v>0</v>
      </c>
      <c r="AB3">
        <v>0</v>
      </c>
      <c r="AC3">
        <v>0</v>
      </c>
      <c r="AD3" s="2">
        <v>45628</v>
      </c>
      <c r="AE3" t="s">
        <v>48</v>
      </c>
      <c r="AF3">
        <v>359</v>
      </c>
      <c r="AG3">
        <v>212.95</v>
      </c>
      <c r="AH3">
        <v>1.01</v>
      </c>
      <c r="AI3">
        <v>11</v>
      </c>
      <c r="AJ3">
        <v>348</v>
      </c>
      <c r="AK3">
        <v>160.81</v>
      </c>
      <c r="AL3">
        <v>51.14</v>
      </c>
      <c r="AM3">
        <v>67.63</v>
      </c>
      <c r="AN3">
        <v>53.99</v>
      </c>
      <c r="AO3">
        <v>11.479999999999999</v>
      </c>
      <c r="AP3">
        <v>401</v>
      </c>
      <c r="AQ3">
        <v>4</v>
      </c>
      <c r="AR3">
        <v>2</v>
      </c>
      <c r="AS3">
        <v>102.50999999999999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20</v>
      </c>
      <c r="BJ3">
        <v>211.94000000000003</v>
      </c>
      <c r="BK3">
        <v>3774.3399999999879</v>
      </c>
    </row>
    <row r="4" spans="1:63" x14ac:dyDescent="0.3">
      <c r="A4" t="s">
        <v>12</v>
      </c>
      <c r="B4">
        <v>180</v>
      </c>
      <c r="C4">
        <v>176.70999999999998</v>
      </c>
      <c r="D4">
        <v>140</v>
      </c>
      <c r="E4">
        <v>36.70999999999998</v>
      </c>
      <c r="F4">
        <v>0.98172222222222205</v>
      </c>
      <c r="G4">
        <v>2861.95</v>
      </c>
      <c r="H4">
        <v>987.86609999999996</v>
      </c>
      <c r="I4">
        <v>1184.5587999999998</v>
      </c>
      <c r="J4">
        <v>0</v>
      </c>
      <c r="K4">
        <v>0</v>
      </c>
      <c r="L4">
        <v>0.97883597883597895</v>
      </c>
      <c r="M4">
        <v>4.0540540540540501E-2</v>
      </c>
      <c r="N4">
        <v>0</v>
      </c>
      <c r="O4">
        <v>296.1397</v>
      </c>
      <c r="P4">
        <v>0.89598777658310202</v>
      </c>
      <c r="Q4">
        <v>296.1397</v>
      </c>
      <c r="R4">
        <v>187.51</v>
      </c>
      <c r="S4">
        <v>3</v>
      </c>
      <c r="T4">
        <v>0</v>
      </c>
      <c r="U4">
        <v>5817.1643000000004</v>
      </c>
      <c r="V4">
        <v>176.70999999999998</v>
      </c>
      <c r="W4">
        <v>180</v>
      </c>
      <c r="X4">
        <v>1184.5588</v>
      </c>
      <c r="Y4">
        <v>7</v>
      </c>
      <c r="Z4">
        <v>0</v>
      </c>
      <c r="AA4">
        <v>176.70999999999998</v>
      </c>
      <c r="AB4">
        <v>296.1397</v>
      </c>
      <c r="AC4">
        <v>0</v>
      </c>
      <c r="AD4" s="2">
        <v>45628</v>
      </c>
      <c r="AE4" t="s">
        <v>37</v>
      </c>
      <c r="AF4">
        <v>335</v>
      </c>
      <c r="AG4">
        <v>183.07</v>
      </c>
      <c r="AH4">
        <v>6.3599999999999994</v>
      </c>
      <c r="AI4">
        <v>5</v>
      </c>
      <c r="AJ4">
        <v>330</v>
      </c>
      <c r="AK4">
        <v>158.32999999999998</v>
      </c>
      <c r="AL4">
        <v>18.36</v>
      </c>
      <c r="AM4">
        <v>79.13</v>
      </c>
      <c r="AN4">
        <v>67.59</v>
      </c>
      <c r="AO4">
        <v>12.69</v>
      </c>
      <c r="AP4">
        <v>370</v>
      </c>
      <c r="AQ4">
        <v>1</v>
      </c>
      <c r="AR4">
        <v>15</v>
      </c>
      <c r="AS4">
        <v>101.28999999999999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20</v>
      </c>
      <c r="BJ4">
        <v>0</v>
      </c>
      <c r="BK4">
        <v>4022.1899999999973</v>
      </c>
    </row>
    <row r="5" spans="1:63" x14ac:dyDescent="0.3">
      <c r="A5" t="s">
        <v>12</v>
      </c>
      <c r="B5">
        <v>80</v>
      </c>
      <c r="C5">
        <v>45.440000000000005</v>
      </c>
      <c r="D5">
        <v>45.440000000000005</v>
      </c>
      <c r="E5">
        <v>0</v>
      </c>
      <c r="F5">
        <v>0.56799999999999995</v>
      </c>
      <c r="G5">
        <v>0</v>
      </c>
      <c r="H5">
        <v>0</v>
      </c>
      <c r="I5">
        <v>0</v>
      </c>
      <c r="J5">
        <v>0</v>
      </c>
      <c r="K5">
        <v>0</v>
      </c>
      <c r="L5">
        <v>0.89781021897810198</v>
      </c>
      <c r="M5">
        <v>3.2520325203252001E-2</v>
      </c>
      <c r="N5">
        <v>0</v>
      </c>
      <c r="O5">
        <v>0</v>
      </c>
      <c r="P5">
        <v>0.95664612676056304</v>
      </c>
      <c r="Q5">
        <v>0</v>
      </c>
      <c r="R5">
        <v>32.450000000000003</v>
      </c>
      <c r="S5">
        <v>0</v>
      </c>
      <c r="T5">
        <v>1207.52</v>
      </c>
      <c r="U5">
        <v>1239.97</v>
      </c>
      <c r="V5">
        <v>45.440000000000005</v>
      </c>
      <c r="W5">
        <v>80</v>
      </c>
      <c r="X5">
        <v>0</v>
      </c>
      <c r="Y5">
        <v>2</v>
      </c>
      <c r="Z5">
        <v>0</v>
      </c>
      <c r="AA5">
        <v>0</v>
      </c>
      <c r="AB5">
        <v>0</v>
      </c>
      <c r="AC5">
        <v>0</v>
      </c>
      <c r="AD5" s="2">
        <v>45628</v>
      </c>
      <c r="AE5" t="s">
        <v>44</v>
      </c>
      <c r="AF5">
        <v>107</v>
      </c>
      <c r="AG5">
        <v>45.45</v>
      </c>
      <c r="AH5">
        <v>0.01</v>
      </c>
      <c r="AI5">
        <v>0</v>
      </c>
      <c r="AJ5">
        <v>107</v>
      </c>
      <c r="AK5">
        <v>43.47</v>
      </c>
      <c r="AL5">
        <v>1.97</v>
      </c>
      <c r="AM5">
        <v>22.36</v>
      </c>
      <c r="AN5">
        <v>21.54</v>
      </c>
      <c r="AO5">
        <v>2.35</v>
      </c>
      <c r="AP5">
        <v>123</v>
      </c>
      <c r="AQ5">
        <v>12</v>
      </c>
      <c r="AR5">
        <v>4</v>
      </c>
      <c r="AS5">
        <v>0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20</v>
      </c>
      <c r="BJ5">
        <v>45.440000000000005</v>
      </c>
      <c r="BK5">
        <v>1207.52</v>
      </c>
    </row>
    <row r="6" spans="1:63" x14ac:dyDescent="0.3">
      <c r="A6" t="s">
        <v>12</v>
      </c>
      <c r="B6">
        <v>97</v>
      </c>
      <c r="C6">
        <v>96.74</v>
      </c>
      <c r="D6">
        <v>70</v>
      </c>
      <c r="E6">
        <v>26.739999999999995</v>
      </c>
      <c r="F6">
        <v>1</v>
      </c>
      <c r="G6">
        <v>1430.9749999999999</v>
      </c>
      <c r="H6">
        <v>719.57339999999999</v>
      </c>
      <c r="I6">
        <v>661.70719999999994</v>
      </c>
      <c r="J6">
        <v>0</v>
      </c>
      <c r="K6">
        <v>0</v>
      </c>
      <c r="L6">
        <v>0.95945945945945899</v>
      </c>
      <c r="M6">
        <v>1.8779342723004699E-2</v>
      </c>
      <c r="N6">
        <v>330.85359999999997</v>
      </c>
      <c r="O6">
        <v>0</v>
      </c>
      <c r="P6">
        <v>0.82933636551581602</v>
      </c>
      <c r="Q6">
        <v>165.42679999999999</v>
      </c>
      <c r="R6">
        <v>113.46</v>
      </c>
      <c r="S6">
        <v>0</v>
      </c>
      <c r="T6">
        <v>0</v>
      </c>
      <c r="U6">
        <v>3421.9960000000001</v>
      </c>
      <c r="V6">
        <v>96.74</v>
      </c>
      <c r="W6">
        <v>90</v>
      </c>
      <c r="X6">
        <v>661.70719999999994</v>
      </c>
      <c r="Y6">
        <v>7</v>
      </c>
      <c r="Z6">
        <v>96.74</v>
      </c>
      <c r="AA6">
        <v>0</v>
      </c>
      <c r="AB6">
        <v>330.85359999999997</v>
      </c>
      <c r="AC6">
        <v>7</v>
      </c>
      <c r="AD6" s="2">
        <v>45628</v>
      </c>
      <c r="AE6" t="s">
        <v>65</v>
      </c>
      <c r="AF6">
        <v>190</v>
      </c>
      <c r="AG6">
        <v>98.14</v>
      </c>
      <c r="AH6">
        <v>1.4000000000000001</v>
      </c>
      <c r="AI6">
        <v>0</v>
      </c>
      <c r="AJ6">
        <v>190</v>
      </c>
      <c r="AK6">
        <v>80.22999999999999</v>
      </c>
      <c r="AL6">
        <v>16.509999999999998</v>
      </c>
      <c r="AM6">
        <v>31.1</v>
      </c>
      <c r="AN6">
        <v>27.03</v>
      </c>
      <c r="AO6">
        <v>3.9000000000000004</v>
      </c>
      <c r="AP6">
        <v>213</v>
      </c>
      <c r="AQ6">
        <v>2</v>
      </c>
      <c r="AR6">
        <v>4</v>
      </c>
      <c r="AS6">
        <v>49.949999999999996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20</v>
      </c>
      <c r="BJ6">
        <v>0</v>
      </c>
      <c r="BK6">
        <v>2063.7399999999998</v>
      </c>
    </row>
    <row r="7" spans="1:63" x14ac:dyDescent="0.3">
      <c r="A7" t="s">
        <v>13</v>
      </c>
      <c r="B7">
        <v>50</v>
      </c>
      <c r="C7">
        <v>40.159999999999997</v>
      </c>
      <c r="D7">
        <v>40.159999999999997</v>
      </c>
      <c r="E7">
        <v>0</v>
      </c>
      <c r="F7">
        <v>0.80320000000000003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2.02020202020202E-2</v>
      </c>
      <c r="N7">
        <v>0</v>
      </c>
      <c r="O7">
        <v>0</v>
      </c>
      <c r="P7">
        <v>0.96140438247011994</v>
      </c>
      <c r="Q7">
        <v>0</v>
      </c>
      <c r="R7">
        <v>52.02</v>
      </c>
      <c r="S7">
        <v>0</v>
      </c>
      <c r="T7">
        <v>957.72</v>
      </c>
      <c r="U7">
        <v>1009.74</v>
      </c>
      <c r="V7">
        <v>40.159999999999997</v>
      </c>
      <c r="W7">
        <v>50</v>
      </c>
      <c r="X7">
        <v>0</v>
      </c>
      <c r="Y7">
        <v>0</v>
      </c>
      <c r="Z7">
        <v>40.159999999999997</v>
      </c>
      <c r="AA7">
        <v>0</v>
      </c>
      <c r="AB7">
        <v>0</v>
      </c>
      <c r="AC7">
        <v>0</v>
      </c>
      <c r="AD7" s="2">
        <v>45635</v>
      </c>
      <c r="AE7" t="s">
        <v>34</v>
      </c>
      <c r="AF7">
        <v>85</v>
      </c>
      <c r="AG7">
        <v>40.159999999999997</v>
      </c>
      <c r="AH7">
        <v>0</v>
      </c>
      <c r="AI7">
        <v>0</v>
      </c>
      <c r="AJ7">
        <v>85</v>
      </c>
      <c r="AK7">
        <v>38.61</v>
      </c>
      <c r="AL7">
        <v>1.54</v>
      </c>
      <c r="AM7">
        <v>1.3</v>
      </c>
      <c r="AN7">
        <v>1.3</v>
      </c>
      <c r="AO7">
        <v>2.12</v>
      </c>
      <c r="AP7">
        <v>99</v>
      </c>
      <c r="AQ7">
        <v>0</v>
      </c>
      <c r="AR7">
        <v>2</v>
      </c>
      <c r="AS7">
        <v>40.159999999999997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20</v>
      </c>
      <c r="BJ7">
        <v>0</v>
      </c>
      <c r="BK7">
        <v>957.72</v>
      </c>
    </row>
    <row r="8" spans="1:63" x14ac:dyDescent="0.3">
      <c r="A8" t="s">
        <v>13</v>
      </c>
      <c r="B8">
        <v>220</v>
      </c>
      <c r="C8">
        <v>222.6</v>
      </c>
      <c r="D8">
        <v>140</v>
      </c>
      <c r="E8">
        <v>80</v>
      </c>
      <c r="F8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0.822784810126582</v>
      </c>
      <c r="M8">
        <v>1.75824175824176E-2</v>
      </c>
      <c r="N8">
        <v>0</v>
      </c>
      <c r="O8">
        <v>0</v>
      </c>
      <c r="P8">
        <v>0.79353099730458199</v>
      </c>
      <c r="Q8">
        <v>384.5</v>
      </c>
      <c r="R8">
        <v>232.44</v>
      </c>
      <c r="S8">
        <v>0</v>
      </c>
      <c r="T8">
        <v>0</v>
      </c>
      <c r="U8">
        <v>7153.44</v>
      </c>
      <c r="V8">
        <v>220</v>
      </c>
      <c r="W8">
        <v>220</v>
      </c>
      <c r="X8">
        <v>1538</v>
      </c>
      <c r="Y8">
        <v>86</v>
      </c>
      <c r="Z8">
        <v>0</v>
      </c>
      <c r="AA8">
        <v>0</v>
      </c>
      <c r="AB8">
        <v>0</v>
      </c>
      <c r="AC8">
        <v>0</v>
      </c>
      <c r="AD8" s="2">
        <v>45635</v>
      </c>
      <c r="AE8" t="s">
        <v>48</v>
      </c>
      <c r="AF8">
        <v>388</v>
      </c>
      <c r="AG8">
        <v>223.33</v>
      </c>
      <c r="AH8">
        <v>0.73</v>
      </c>
      <c r="AI8">
        <v>34</v>
      </c>
      <c r="AJ8">
        <v>354</v>
      </c>
      <c r="AK8">
        <v>176.64000000000001</v>
      </c>
      <c r="AL8">
        <v>45.949999999999996</v>
      </c>
      <c r="AM8">
        <v>66.650000000000006</v>
      </c>
      <c r="AN8">
        <v>54.78</v>
      </c>
      <c r="AO8">
        <v>12.44</v>
      </c>
      <c r="AP8">
        <v>455</v>
      </c>
      <c r="AQ8">
        <v>12</v>
      </c>
      <c r="AR8">
        <v>8</v>
      </c>
      <c r="AS8">
        <v>98.31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40</v>
      </c>
      <c r="BJ8">
        <v>220</v>
      </c>
      <c r="BK8">
        <v>3937.4599999999991</v>
      </c>
    </row>
    <row r="9" spans="1:63" x14ac:dyDescent="0.3">
      <c r="A9" t="s">
        <v>13</v>
      </c>
      <c r="B9">
        <v>210</v>
      </c>
      <c r="C9">
        <v>210.14000000000001</v>
      </c>
      <c r="D9">
        <v>140</v>
      </c>
      <c r="E9">
        <v>70</v>
      </c>
      <c r="F9">
        <v>1</v>
      </c>
      <c r="G9">
        <v>2861.95</v>
      </c>
      <c r="H9">
        <v>1883.7</v>
      </c>
      <c r="I9">
        <v>1460.1999999999998</v>
      </c>
      <c r="J9">
        <v>0</v>
      </c>
      <c r="K9">
        <v>0</v>
      </c>
      <c r="L9">
        <v>0.990825688073394</v>
      </c>
      <c r="M9">
        <v>2.03703703703704E-2</v>
      </c>
      <c r="N9">
        <v>730.1</v>
      </c>
      <c r="O9">
        <v>0</v>
      </c>
      <c r="P9">
        <v>0.91791186827828997</v>
      </c>
      <c r="Q9">
        <v>365.05</v>
      </c>
      <c r="R9">
        <v>160.18</v>
      </c>
      <c r="S9">
        <v>0</v>
      </c>
      <c r="T9">
        <v>0</v>
      </c>
      <c r="U9">
        <v>7461.18</v>
      </c>
      <c r="V9">
        <v>210</v>
      </c>
      <c r="W9">
        <v>210</v>
      </c>
      <c r="X9">
        <v>1460.2</v>
      </c>
      <c r="Y9">
        <v>5</v>
      </c>
      <c r="Z9">
        <v>210</v>
      </c>
      <c r="AA9">
        <v>0</v>
      </c>
      <c r="AB9">
        <v>730.1</v>
      </c>
      <c r="AC9">
        <v>0</v>
      </c>
      <c r="AD9" s="2">
        <v>45635</v>
      </c>
      <c r="AE9" t="s">
        <v>37</v>
      </c>
      <c r="AF9">
        <v>455</v>
      </c>
      <c r="AG9">
        <v>210.45</v>
      </c>
      <c r="AH9">
        <v>0.31000000000000005</v>
      </c>
      <c r="AI9">
        <v>0</v>
      </c>
      <c r="AJ9">
        <v>455</v>
      </c>
      <c r="AK9">
        <v>192.89</v>
      </c>
      <c r="AL9">
        <v>17.25</v>
      </c>
      <c r="AM9">
        <v>79.070000000000007</v>
      </c>
      <c r="AN9">
        <v>68.760000000000005</v>
      </c>
      <c r="AO9">
        <v>14.52</v>
      </c>
      <c r="AP9">
        <v>540</v>
      </c>
      <c r="AQ9">
        <v>0</v>
      </c>
      <c r="AR9">
        <v>11</v>
      </c>
      <c r="AS9">
        <v>180.41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20</v>
      </c>
      <c r="BJ9">
        <v>0</v>
      </c>
      <c r="BK9">
        <v>4822.0999999999885</v>
      </c>
    </row>
    <row r="10" spans="1:63" x14ac:dyDescent="0.3">
      <c r="A10" t="s">
        <v>13</v>
      </c>
      <c r="B10">
        <v>60</v>
      </c>
      <c r="C10">
        <v>30.709999999999997</v>
      </c>
      <c r="D10">
        <v>30.709999999999997</v>
      </c>
      <c r="E10">
        <v>0</v>
      </c>
      <c r="F10">
        <v>0.51183333333333303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1.2500000000000001E-2</v>
      </c>
      <c r="N10">
        <v>0</v>
      </c>
      <c r="O10">
        <v>0</v>
      </c>
      <c r="P10">
        <v>0.96287854119179395</v>
      </c>
      <c r="Q10">
        <v>0</v>
      </c>
      <c r="R10">
        <v>13.99</v>
      </c>
      <c r="S10">
        <v>0</v>
      </c>
      <c r="T10">
        <v>770.65999999999894</v>
      </c>
      <c r="U10">
        <v>784.65</v>
      </c>
      <c r="V10">
        <v>30.709999999999997</v>
      </c>
      <c r="W10">
        <v>60</v>
      </c>
      <c r="X10">
        <v>0</v>
      </c>
      <c r="Y10">
        <v>0</v>
      </c>
      <c r="Z10">
        <v>30.709999999999997</v>
      </c>
      <c r="AA10">
        <v>0</v>
      </c>
      <c r="AB10">
        <v>0</v>
      </c>
      <c r="AC10">
        <v>0</v>
      </c>
      <c r="AD10" s="2">
        <v>45635</v>
      </c>
      <c r="AE10" t="s">
        <v>44</v>
      </c>
      <c r="AF10">
        <v>70</v>
      </c>
      <c r="AG10">
        <v>30.72</v>
      </c>
      <c r="AH10">
        <v>0.01</v>
      </c>
      <c r="AI10">
        <v>0</v>
      </c>
      <c r="AJ10">
        <v>70</v>
      </c>
      <c r="AK10">
        <v>29.57</v>
      </c>
      <c r="AL10">
        <v>1.1399999999999999</v>
      </c>
      <c r="AM10">
        <v>13.99</v>
      </c>
      <c r="AN10">
        <v>13.67</v>
      </c>
      <c r="AO10">
        <v>2.2799999999999998</v>
      </c>
      <c r="AP10">
        <v>80</v>
      </c>
      <c r="AQ10">
        <v>0</v>
      </c>
      <c r="AR10">
        <v>1</v>
      </c>
      <c r="AS10">
        <v>30.709999999999997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20</v>
      </c>
      <c r="BJ10">
        <v>0</v>
      </c>
      <c r="BK10">
        <v>770.65999999999894</v>
      </c>
    </row>
    <row r="11" spans="1:63" x14ac:dyDescent="0.3">
      <c r="A11" t="s">
        <v>13</v>
      </c>
      <c r="B11">
        <v>100</v>
      </c>
      <c r="C11">
        <v>55.01</v>
      </c>
      <c r="D11">
        <v>55.01</v>
      </c>
      <c r="E11">
        <v>0</v>
      </c>
      <c r="F11">
        <v>0.55010000000000003</v>
      </c>
      <c r="G11">
        <v>0</v>
      </c>
      <c r="H11">
        <v>0</v>
      </c>
      <c r="I11">
        <v>0</v>
      </c>
      <c r="J11">
        <v>0</v>
      </c>
      <c r="K11">
        <v>0</v>
      </c>
      <c r="L11">
        <v>0.76510067114094005</v>
      </c>
      <c r="M11">
        <v>8.7719298245613996E-3</v>
      </c>
      <c r="N11">
        <v>0</v>
      </c>
      <c r="O11">
        <v>0</v>
      </c>
      <c r="P11">
        <v>0.87656789674604596</v>
      </c>
      <c r="Q11">
        <v>0</v>
      </c>
      <c r="R11">
        <v>30.57</v>
      </c>
      <c r="S11">
        <v>0</v>
      </c>
      <c r="T11">
        <v>1173.5299999999991</v>
      </c>
      <c r="U11">
        <v>1204.0999999999999</v>
      </c>
      <c r="V11">
        <v>55.01</v>
      </c>
      <c r="W11">
        <v>100</v>
      </c>
      <c r="X11">
        <v>0</v>
      </c>
      <c r="Y11">
        <v>26</v>
      </c>
      <c r="Z11">
        <v>0</v>
      </c>
      <c r="AA11">
        <v>0</v>
      </c>
      <c r="AB11">
        <v>0</v>
      </c>
      <c r="AC11">
        <v>0</v>
      </c>
      <c r="AD11" s="2">
        <v>45635</v>
      </c>
      <c r="AE11" t="s">
        <v>65</v>
      </c>
      <c r="AF11">
        <v>99</v>
      </c>
      <c r="AG11">
        <v>61.01</v>
      </c>
      <c r="AH11">
        <v>6</v>
      </c>
      <c r="AI11">
        <v>3</v>
      </c>
      <c r="AJ11">
        <v>96</v>
      </c>
      <c r="AK11">
        <v>48.22</v>
      </c>
      <c r="AL11">
        <v>6.79</v>
      </c>
      <c r="AM11">
        <v>22.29</v>
      </c>
      <c r="AN11">
        <v>17.53</v>
      </c>
      <c r="AO11">
        <v>4.74</v>
      </c>
      <c r="AP11">
        <v>114</v>
      </c>
      <c r="AQ11">
        <v>9</v>
      </c>
      <c r="AR11">
        <v>1</v>
      </c>
      <c r="AS11">
        <v>27.81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20</v>
      </c>
      <c r="BJ11">
        <v>55.01</v>
      </c>
      <c r="BK11">
        <v>1173.5299999999991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4.4" x14ac:dyDescent="0.3"/>
  <cols>
    <col min="1" max="1" width="29.6640625" bestFit="1" customWidth="1"/>
    <col min="2" max="2" width="23.109375" bestFit="1" customWidth="1"/>
    <col min="3" max="3" width="45.6640625" bestFit="1" customWidth="1"/>
    <col min="4" max="4" width="45.33203125" bestFit="1" customWidth="1"/>
    <col min="5" max="5" width="45.6640625" bestFit="1" customWidth="1"/>
    <col min="6" max="6" width="45.33203125" bestFit="1" customWidth="1"/>
  </cols>
  <sheetData>
    <row r="1" spans="1:4" x14ac:dyDescent="0.3">
      <c r="A1" t="s">
        <v>166</v>
      </c>
      <c r="B1" t="s">
        <v>228</v>
      </c>
      <c r="C1" t="s">
        <v>229</v>
      </c>
      <c r="D1" t="s">
        <v>230</v>
      </c>
    </row>
    <row r="2" spans="1:4" hidden="1" x14ac:dyDescent="0.3">
      <c r="A2" t="s">
        <v>34</v>
      </c>
      <c r="B2" t="s">
        <v>171</v>
      </c>
    </row>
    <row r="3" spans="1:4" hidden="1" x14ac:dyDescent="0.3">
      <c r="A3" t="s">
        <v>34</v>
      </c>
      <c r="B3" t="s">
        <v>231</v>
      </c>
    </row>
    <row r="4" spans="1:4" hidden="1" x14ac:dyDescent="0.3">
      <c r="A4" t="s">
        <v>37</v>
      </c>
      <c r="B4" t="s">
        <v>174</v>
      </c>
    </row>
    <row r="5" spans="1:4" hidden="1" x14ac:dyDescent="0.3">
      <c r="A5" t="s">
        <v>37</v>
      </c>
      <c r="B5" t="s">
        <v>173</v>
      </c>
    </row>
    <row r="6" spans="1:4" hidden="1" x14ac:dyDescent="0.3">
      <c r="A6" t="s">
        <v>37</v>
      </c>
      <c r="B6" t="s">
        <v>177</v>
      </c>
    </row>
    <row r="7" spans="1:4" hidden="1" x14ac:dyDescent="0.3">
      <c r="A7" t="s">
        <v>37</v>
      </c>
      <c r="B7" t="s">
        <v>181</v>
      </c>
    </row>
    <row r="8" spans="1:4" hidden="1" x14ac:dyDescent="0.3">
      <c r="A8" t="s">
        <v>37</v>
      </c>
      <c r="B8" t="s">
        <v>184</v>
      </c>
    </row>
    <row r="9" spans="1:4" hidden="1" x14ac:dyDescent="0.3">
      <c r="A9" t="s">
        <v>37</v>
      </c>
      <c r="B9" t="s">
        <v>232</v>
      </c>
    </row>
    <row r="10" spans="1:4" hidden="1" x14ac:dyDescent="0.3">
      <c r="A10" t="s">
        <v>37</v>
      </c>
      <c r="B10" t="s">
        <v>185</v>
      </c>
    </row>
    <row r="11" spans="1:4" hidden="1" x14ac:dyDescent="0.3">
      <c r="A11" t="s">
        <v>37</v>
      </c>
      <c r="B11" t="s">
        <v>233</v>
      </c>
    </row>
    <row r="12" spans="1:4" hidden="1" x14ac:dyDescent="0.3">
      <c r="A12" t="s">
        <v>37</v>
      </c>
      <c r="B12" t="s">
        <v>234</v>
      </c>
    </row>
    <row r="13" spans="1:4" hidden="1" x14ac:dyDescent="0.3">
      <c r="A13" t="s">
        <v>37</v>
      </c>
      <c r="B13" t="s">
        <v>235</v>
      </c>
    </row>
    <row r="14" spans="1:4" hidden="1" x14ac:dyDescent="0.3">
      <c r="A14" t="s">
        <v>37</v>
      </c>
      <c r="B14" t="s">
        <v>170</v>
      </c>
    </row>
    <row r="15" spans="1:4" hidden="1" x14ac:dyDescent="0.3">
      <c r="A15" t="s">
        <v>37</v>
      </c>
      <c r="B15" t="s">
        <v>236</v>
      </c>
    </row>
    <row r="16" spans="1:4" hidden="1" x14ac:dyDescent="0.3">
      <c r="A16" t="s">
        <v>37</v>
      </c>
      <c r="B16" t="s">
        <v>237</v>
      </c>
    </row>
    <row r="17" spans="1:2" hidden="1" x14ac:dyDescent="0.3">
      <c r="A17" t="s">
        <v>37</v>
      </c>
      <c r="B17" t="s">
        <v>238</v>
      </c>
    </row>
    <row r="18" spans="1:2" hidden="1" x14ac:dyDescent="0.3">
      <c r="A18" t="s">
        <v>37</v>
      </c>
      <c r="B18" t="s">
        <v>239</v>
      </c>
    </row>
    <row r="19" spans="1:2" hidden="1" x14ac:dyDescent="0.3">
      <c r="A19" t="s">
        <v>48</v>
      </c>
      <c r="B19" t="s">
        <v>240</v>
      </c>
    </row>
    <row r="20" spans="1:2" hidden="1" x14ac:dyDescent="0.3">
      <c r="A20" t="s">
        <v>48</v>
      </c>
      <c r="B20" t="s">
        <v>241</v>
      </c>
    </row>
    <row r="21" spans="1:2" hidden="1" x14ac:dyDescent="0.3">
      <c r="A21" t="s">
        <v>48</v>
      </c>
      <c r="B21" t="s">
        <v>242</v>
      </c>
    </row>
    <row r="22" spans="1:2" hidden="1" x14ac:dyDescent="0.3">
      <c r="A22" t="s">
        <v>48</v>
      </c>
      <c r="B22" t="s">
        <v>243</v>
      </c>
    </row>
    <row r="23" spans="1:2" hidden="1" x14ac:dyDescent="0.3">
      <c r="A23" t="s">
        <v>48</v>
      </c>
      <c r="B23" t="s">
        <v>186</v>
      </c>
    </row>
    <row r="24" spans="1:2" hidden="1" x14ac:dyDescent="0.3">
      <c r="A24" t="s">
        <v>48</v>
      </c>
      <c r="B24" t="s">
        <v>244</v>
      </c>
    </row>
    <row r="25" spans="1:2" hidden="1" x14ac:dyDescent="0.3">
      <c r="A25" t="s">
        <v>48</v>
      </c>
      <c r="B25" t="s">
        <v>180</v>
      </c>
    </row>
    <row r="26" spans="1:2" hidden="1" x14ac:dyDescent="0.3">
      <c r="A26" t="s">
        <v>48</v>
      </c>
      <c r="B26" t="s">
        <v>169</v>
      </c>
    </row>
    <row r="27" spans="1:2" hidden="1" x14ac:dyDescent="0.3">
      <c r="A27" t="s">
        <v>48</v>
      </c>
      <c r="B27" t="s">
        <v>245</v>
      </c>
    </row>
    <row r="28" spans="1:2" hidden="1" x14ac:dyDescent="0.3">
      <c r="A28" t="s">
        <v>48</v>
      </c>
      <c r="B28" t="s">
        <v>175</v>
      </c>
    </row>
    <row r="29" spans="1:2" hidden="1" x14ac:dyDescent="0.3">
      <c r="A29" t="s">
        <v>48</v>
      </c>
      <c r="B29" t="s">
        <v>178</v>
      </c>
    </row>
    <row r="30" spans="1:2" hidden="1" x14ac:dyDescent="0.3">
      <c r="A30" t="s">
        <v>48</v>
      </c>
      <c r="B30" t="s">
        <v>172</v>
      </c>
    </row>
    <row r="31" spans="1:2" hidden="1" x14ac:dyDescent="0.3">
      <c r="A31" t="s">
        <v>48</v>
      </c>
      <c r="B31" t="s">
        <v>246</v>
      </c>
    </row>
    <row r="32" spans="1:2" hidden="1" x14ac:dyDescent="0.3">
      <c r="A32" t="s">
        <v>48</v>
      </c>
      <c r="B32" t="s">
        <v>247</v>
      </c>
    </row>
    <row r="33" spans="1:2" hidden="1" x14ac:dyDescent="0.3">
      <c r="A33" t="s">
        <v>48</v>
      </c>
      <c r="B33" t="s">
        <v>248</v>
      </c>
    </row>
    <row r="34" spans="1:2" hidden="1" x14ac:dyDescent="0.3">
      <c r="A34" t="s">
        <v>48</v>
      </c>
      <c r="B34" t="s">
        <v>249</v>
      </c>
    </row>
    <row r="35" spans="1:2" hidden="1" x14ac:dyDescent="0.3">
      <c r="A35" t="s">
        <v>48</v>
      </c>
      <c r="B35" t="s">
        <v>250</v>
      </c>
    </row>
    <row r="36" spans="1:2" hidden="1" x14ac:dyDescent="0.3">
      <c r="A36" t="s">
        <v>48</v>
      </c>
      <c r="B36" t="s">
        <v>251</v>
      </c>
    </row>
    <row r="37" spans="1:2" hidden="1" x14ac:dyDescent="0.3">
      <c r="A37" t="s">
        <v>48</v>
      </c>
      <c r="B37" t="s">
        <v>252</v>
      </c>
    </row>
    <row r="38" spans="1:2" hidden="1" x14ac:dyDescent="0.3">
      <c r="A38" t="s">
        <v>48</v>
      </c>
      <c r="B38" t="s">
        <v>253</v>
      </c>
    </row>
    <row r="39" spans="1:2" hidden="1" x14ac:dyDescent="0.3">
      <c r="A39" t="s">
        <v>48</v>
      </c>
      <c r="B39" t="s">
        <v>254</v>
      </c>
    </row>
    <row r="40" spans="1:2" hidden="1" x14ac:dyDescent="0.3">
      <c r="A40" t="s">
        <v>48</v>
      </c>
      <c r="B40" t="s">
        <v>255</v>
      </c>
    </row>
    <row r="41" spans="1:2" hidden="1" x14ac:dyDescent="0.3">
      <c r="A41" t="s">
        <v>37</v>
      </c>
      <c r="B41" t="s">
        <v>168</v>
      </c>
    </row>
    <row r="42" spans="1:2" hidden="1" x14ac:dyDescent="0.3">
      <c r="A42" t="s">
        <v>65</v>
      </c>
      <c r="B42" t="s">
        <v>176</v>
      </c>
    </row>
    <row r="43" spans="1:2" hidden="1" x14ac:dyDescent="0.3">
      <c r="A43" t="s">
        <v>65</v>
      </c>
      <c r="B43" t="s">
        <v>256</v>
      </c>
    </row>
    <row r="44" spans="1:2" hidden="1" x14ac:dyDescent="0.3">
      <c r="A44" t="s">
        <v>65</v>
      </c>
      <c r="B44" t="s">
        <v>257</v>
      </c>
    </row>
    <row r="45" spans="1:2" hidden="1" x14ac:dyDescent="0.3">
      <c r="A45" t="s">
        <v>65</v>
      </c>
      <c r="B45" t="s">
        <v>258</v>
      </c>
    </row>
    <row r="46" spans="1:2" hidden="1" x14ac:dyDescent="0.3">
      <c r="A46" t="s">
        <v>65</v>
      </c>
      <c r="B46" t="s">
        <v>259</v>
      </c>
    </row>
    <row r="47" spans="1:2" hidden="1" x14ac:dyDescent="0.3">
      <c r="A47" t="s">
        <v>65</v>
      </c>
      <c r="B47" t="s">
        <v>183</v>
      </c>
    </row>
    <row r="48" spans="1:2" hidden="1" x14ac:dyDescent="0.3">
      <c r="A48" t="s">
        <v>65</v>
      </c>
      <c r="B48" t="s">
        <v>260</v>
      </c>
    </row>
    <row r="49" spans="1:2" hidden="1" x14ac:dyDescent="0.3">
      <c r="A49" t="s">
        <v>65</v>
      </c>
      <c r="B49" t="s">
        <v>261</v>
      </c>
    </row>
    <row r="50" spans="1:2" hidden="1" x14ac:dyDescent="0.3">
      <c r="A50" t="s">
        <v>65</v>
      </c>
      <c r="B50" t="s">
        <v>262</v>
      </c>
    </row>
    <row r="51" spans="1:2" hidden="1" x14ac:dyDescent="0.3">
      <c r="A51" t="s">
        <v>34</v>
      </c>
      <c r="B51" t="s">
        <v>263</v>
      </c>
    </row>
    <row r="52" spans="1:2" hidden="1" x14ac:dyDescent="0.3">
      <c r="A52" t="s">
        <v>44</v>
      </c>
      <c r="B52" t="s">
        <v>264</v>
      </c>
    </row>
    <row r="53" spans="1:2" hidden="1" x14ac:dyDescent="0.3">
      <c r="A53" t="s">
        <v>37</v>
      </c>
      <c r="B53" t="s">
        <v>265</v>
      </c>
    </row>
    <row r="54" spans="1:2" hidden="1" x14ac:dyDescent="0.3">
      <c r="A54" t="s">
        <v>37</v>
      </c>
      <c r="B54" t="s">
        <v>266</v>
      </c>
    </row>
    <row r="55" spans="1:2" hidden="1" x14ac:dyDescent="0.3">
      <c r="A55" t="s">
        <v>44</v>
      </c>
      <c r="B55" t="s">
        <v>189</v>
      </c>
    </row>
    <row r="56" spans="1:2" hidden="1" x14ac:dyDescent="0.3">
      <c r="A56" t="s">
        <v>48</v>
      </c>
      <c r="B56" t="s">
        <v>167</v>
      </c>
    </row>
    <row r="57" spans="1:2" hidden="1" x14ac:dyDescent="0.3">
      <c r="A57" t="s">
        <v>44</v>
      </c>
      <c r="B57" t="s">
        <v>179</v>
      </c>
    </row>
    <row r="58" spans="1:2" hidden="1" x14ac:dyDescent="0.3">
      <c r="A58" t="s">
        <v>37</v>
      </c>
      <c r="B58" t="s">
        <v>182</v>
      </c>
    </row>
    <row r="59" spans="1:2" hidden="1" x14ac:dyDescent="0.3">
      <c r="A59" t="s">
        <v>65</v>
      </c>
      <c r="B59" t="s">
        <v>368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8671875" defaultRowHeight="14.4" x14ac:dyDescent="0.3"/>
  <cols>
    <col min="1" max="1" width="1.5546875" style="6" customWidth="1"/>
    <col min="2" max="2" width="13.6640625" style="7" customWidth="1"/>
    <col min="3" max="3" width="15.44140625" style="6" customWidth="1"/>
    <col min="4" max="4" width="12" style="6" customWidth="1"/>
    <col min="5" max="5" width="14.109375" style="6" customWidth="1"/>
    <col min="6" max="6" width="12.6640625" style="66" customWidth="1"/>
    <col min="7" max="7" width="13.44140625" style="67" customWidth="1"/>
    <col min="8" max="8" width="16" style="5" customWidth="1"/>
    <col min="9" max="9" width="18.5546875" style="5" customWidth="1"/>
    <col min="10" max="10" width="17.109375" style="4" customWidth="1"/>
    <col min="11" max="11" width="18.33203125" style="4" customWidth="1"/>
    <col min="12" max="12" width="12.6640625" style="3" customWidth="1"/>
    <col min="13" max="13" width="15" style="3" customWidth="1"/>
    <col min="14" max="14" width="12.88671875" style="8" customWidth="1"/>
    <col min="15" max="16" width="14.33203125" style="8" customWidth="1"/>
    <col min="17" max="21" width="12.44140625" style="8" customWidth="1"/>
    <col min="22" max="22" width="8.88671875" style="6"/>
    <col min="23" max="23" width="19.6640625" style="6" customWidth="1"/>
    <col min="24" max="24" width="9.5546875" style="49" bestFit="1" customWidth="1"/>
    <col min="25" max="25" width="26.109375" style="6" customWidth="1"/>
    <col min="26" max="26" width="17.33203125" style="6" customWidth="1"/>
    <col min="27" max="27" width="10.5546875" style="3" customWidth="1"/>
    <col min="28" max="28" width="11.6640625" style="4" customWidth="1"/>
    <col min="29" max="29" width="16.88671875" style="4" customWidth="1"/>
    <col min="30" max="30" width="12.44140625" style="8" customWidth="1"/>
    <col min="31" max="32" width="8.88671875" style="8"/>
    <col min="33" max="33" width="16.5546875" style="8" bestFit="1" customWidth="1"/>
    <col min="34" max="34" width="45.109375" style="6" customWidth="1"/>
    <col min="35" max="36" width="8.88671875" style="6"/>
    <col min="37" max="37" width="13.6640625" style="8" customWidth="1"/>
    <col min="38" max="38" width="27.44140625" style="3" customWidth="1"/>
    <col min="39" max="39" width="13.6640625" style="8" customWidth="1"/>
    <col min="40" max="40" width="8.88671875" style="6"/>
    <col min="41" max="41" width="16.33203125" style="6" customWidth="1"/>
    <col min="42" max="42" width="9.5546875" style="49" bestFit="1" customWidth="1"/>
    <col min="43" max="46" width="8.88671875" style="6"/>
    <col min="47" max="47" width="8.88671875" style="64"/>
    <col min="48" max="16384" width="8.88671875" style="6"/>
  </cols>
  <sheetData>
    <row r="1" spans="2:47" ht="9" customHeight="1" thickBot="1" x14ac:dyDescent="0.35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5">
      <c r="B2" s="102" t="s">
        <v>37</v>
      </c>
      <c r="C2" s="102"/>
      <c r="D2" s="102"/>
      <c r="E2" s="102"/>
      <c r="F2" s="102"/>
      <c r="H2" s="28" t="s">
        <v>104</v>
      </c>
      <c r="I2" s="29">
        <v>11654.74</v>
      </c>
      <c r="M2" s="8"/>
      <c r="V2" s="8"/>
      <c r="W2" s="95"/>
      <c r="X2" s="95" t="s">
        <v>105</v>
      </c>
      <c r="AA2" s="112" t="s">
        <v>106</v>
      </c>
      <c r="AB2" s="112"/>
      <c r="AC2" s="6"/>
      <c r="AD2" s="116" t="s">
        <v>108</v>
      </c>
      <c r="AE2" s="116"/>
      <c r="AF2" s="6"/>
      <c r="AG2" s="116"/>
      <c r="AH2" s="116"/>
      <c r="AK2" s="64"/>
      <c r="AL2" s="62" t="s">
        <v>107</v>
      </c>
      <c r="AM2" s="6"/>
      <c r="AO2" s="112" t="s">
        <v>108</v>
      </c>
      <c r="AP2" s="112"/>
      <c r="AQ2" s="8"/>
      <c r="AS2" s="9"/>
      <c r="AT2" s="9"/>
      <c r="AU2" s="9"/>
    </row>
    <row r="3" spans="2:47" ht="15.6" x14ac:dyDescent="0.3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399999999999999" customHeight="1" x14ac:dyDescent="0.3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W4" s="14"/>
      <c r="X4" s="22" t="s">
        <v>113</v>
      </c>
      <c r="Y4" s="94">
        <v>0</v>
      </c>
      <c r="AA4" s="9" t="s">
        <v>17</v>
      </c>
      <c r="AB4" s="10">
        <v>1236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50000000000003" customHeight="1" thickBot="1" x14ac:dyDescent="0.35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112.4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3">
      <c r="B6" s="7" t="s">
        <v>12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987.87</v>
      </c>
      <c r="J6" s="8">
        <v>1184.56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296.14</v>
      </c>
      <c r="Q6" s="87">
        <v>0.89598777658310202</v>
      </c>
      <c r="R6" s="8">
        <v>296.14</v>
      </c>
      <c r="S6" s="8">
        <v>187.51</v>
      </c>
      <c r="T6" s="8">
        <v>3</v>
      </c>
      <c r="U6" s="8">
        <v>0</v>
      </c>
      <c r="V6" s="8">
        <v>5817.16</v>
      </c>
      <c r="W6" s="51"/>
      <c r="X6" s="52" t="s">
        <v>132</v>
      </c>
      <c r="Y6" s="94">
        <v>112.4</v>
      </c>
      <c r="AA6" s="11" t="s">
        <v>30</v>
      </c>
      <c r="AB6" s="12">
        <v>500</v>
      </c>
      <c r="AC6" s="6"/>
      <c r="AD6" s="6" t="s">
        <v>133</v>
      </c>
      <c r="AE6" s="94">
        <v>500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500</v>
      </c>
      <c r="AQ6" s="8"/>
      <c r="AU6" s="6"/>
    </row>
    <row r="7" spans="2:47" ht="15" thickBot="1" x14ac:dyDescent="0.35">
      <c r="B7" s="7" t="s">
        <v>13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1460.2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v>1736</v>
      </c>
      <c r="AC7" s="6"/>
      <c r="AD7" s="6" t="s">
        <v>30</v>
      </c>
      <c r="AE7" s="94">
        <v>500</v>
      </c>
      <c r="AF7" s="6"/>
      <c r="AG7" s="6"/>
      <c r="AL7" s="6"/>
      <c r="AM7" s="6"/>
      <c r="AO7" s="9" t="s">
        <v>30</v>
      </c>
      <c r="AP7" s="10">
        <f>SUM(AP3:AP6)</f>
        <v>500</v>
      </c>
      <c r="AQ7" s="8"/>
      <c r="AU7" s="6"/>
    </row>
    <row r="8" spans="2:47" x14ac:dyDescent="0.3">
      <c r="B8" s="25" t="s">
        <v>134</v>
      </c>
      <c r="C8" s="76">
        <v>390</v>
      </c>
      <c r="D8" s="26">
        <v>386.85</v>
      </c>
      <c r="E8" s="26">
        <v>280</v>
      </c>
      <c r="F8" s="26">
        <v>106.70999999999998</v>
      </c>
      <c r="G8" s="76"/>
      <c r="H8" s="86">
        <v>5723.9</v>
      </c>
      <c r="I8" s="27">
        <v>2871.57</v>
      </c>
      <c r="J8" s="27">
        <v>2644.76</v>
      </c>
      <c r="K8" s="27">
        <v>0</v>
      </c>
      <c r="L8" s="27">
        <v>0</v>
      </c>
      <c r="M8" s="26"/>
      <c r="N8" s="88"/>
      <c r="O8" s="27">
        <v>730.1</v>
      </c>
      <c r="P8" s="27">
        <v>296.14</v>
      </c>
      <c r="Q8" s="88"/>
      <c r="R8" s="27">
        <v>661.19</v>
      </c>
      <c r="S8" s="27">
        <v>347.69</v>
      </c>
      <c r="T8" s="27">
        <v>3</v>
      </c>
      <c r="U8" s="27">
        <v>0</v>
      </c>
      <c r="V8" s="8">
        <v>13278.34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5" customHeight="1" thickBot="1" x14ac:dyDescent="0.35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6" thickBot="1" x14ac:dyDescent="0.35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1"/>
      <c r="M10" s="6"/>
      <c r="N10" s="6"/>
      <c r="O10" s="6"/>
      <c r="P10" s="6"/>
      <c r="Q10" s="6"/>
      <c r="R10" s="6"/>
      <c r="S10" s="6"/>
      <c r="T10" s="6"/>
      <c r="U10" s="6"/>
      <c r="W10" s="113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5"/>
      <c r="AK10" s="113"/>
      <c r="AL10" s="114"/>
      <c r="AM10" s="114"/>
      <c r="AP10" s="113" t="s">
        <v>137</v>
      </c>
      <c r="AQ10" s="114"/>
      <c r="AR10" s="114"/>
      <c r="AS10" s="114"/>
      <c r="AT10" s="114"/>
      <c r="AU10" s="115"/>
    </row>
    <row r="11" spans="2:47" ht="29.4" thickBot="1" x14ac:dyDescent="0.35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3">
      <c r="B12" s="7">
        <v>45628</v>
      </c>
      <c r="C12" s="6" t="s">
        <v>345</v>
      </c>
      <c r="D12" s="6" t="s">
        <v>346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94">
        <v>307</v>
      </c>
      <c r="Y12" s="6">
        <v>0</v>
      </c>
      <c r="Z12" s="94">
        <v>0</v>
      </c>
      <c r="AP12" s="49" t="e" cm="1">
        <f t="array" ref="AP12">_xlfn._xlws.FILTER(#REF!,#REF!=$B$2,"No Data")</f>
        <v>#REF!</v>
      </c>
    </row>
    <row r="13" spans="2:47" x14ac:dyDescent="0.3">
      <c r="B13" s="7">
        <v>45635</v>
      </c>
      <c r="C13" s="6" t="s">
        <v>345</v>
      </c>
      <c r="D13" s="6" t="s">
        <v>346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47" x14ac:dyDescent="0.3">
      <c r="B14" s="7">
        <v>45628</v>
      </c>
      <c r="C14" s="6" t="s">
        <v>316</v>
      </c>
      <c r="D14" s="6" t="s">
        <v>317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47" x14ac:dyDescent="0.3">
      <c r="B15" s="7">
        <v>45635</v>
      </c>
      <c r="C15" s="6" t="s">
        <v>316</v>
      </c>
      <c r="D15" s="6" t="s">
        <v>317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47" x14ac:dyDescent="0.3">
      <c r="B16" s="7">
        <v>45628</v>
      </c>
      <c r="C16" s="6" t="s">
        <v>319</v>
      </c>
      <c r="D16" s="6" t="s">
        <v>320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3">
      <c r="B17" s="7">
        <v>45635</v>
      </c>
      <c r="C17" s="6" t="s">
        <v>319</v>
      </c>
      <c r="D17" s="6" t="s">
        <v>320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3">
      <c r="B18" s="7">
        <v>45628</v>
      </c>
      <c r="C18" s="6" t="s">
        <v>325</v>
      </c>
      <c r="D18" s="6" t="s">
        <v>326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3">
      <c r="B19" s="7">
        <v>45635</v>
      </c>
      <c r="C19" s="6" t="s">
        <v>325</v>
      </c>
      <c r="D19" s="6" t="s">
        <v>326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3">
      <c r="B20" s="7">
        <v>45628</v>
      </c>
      <c r="C20" s="6" t="s">
        <v>358</v>
      </c>
      <c r="D20" s="6" t="s">
        <v>359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3">
      <c r="B21" s="7">
        <v>45635</v>
      </c>
      <c r="C21" s="6" t="s">
        <v>358</v>
      </c>
      <c r="D21" s="6" t="s">
        <v>359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3">
      <c r="B22" s="7">
        <v>45628</v>
      </c>
      <c r="C22" s="6" t="s">
        <v>319</v>
      </c>
      <c r="D22" s="6" t="s">
        <v>331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3">
      <c r="B23" s="7">
        <v>45635</v>
      </c>
      <c r="C23" s="6" t="s">
        <v>319</v>
      </c>
      <c r="D23" s="6" t="s">
        <v>331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3">
      <c r="B24" s="7">
        <v>45628</v>
      </c>
      <c r="C24" s="6" t="s">
        <v>333</v>
      </c>
      <c r="D24" s="6" t="s">
        <v>334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3">
      <c r="B25" s="7">
        <v>45635</v>
      </c>
      <c r="C25" s="6" t="s">
        <v>333</v>
      </c>
      <c r="D25" s="6" t="s">
        <v>334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3">
      <c r="E33" s="90"/>
    </row>
    <row r="39" spans="5:12" x14ac:dyDescent="0.3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4.4" x14ac:dyDescent="0.3"/>
  <cols>
    <col min="1" max="1" width="29.6640625" bestFit="1" customWidth="1"/>
    <col min="2" max="2" width="8.109375" bestFit="1" customWidth="1"/>
    <col min="3" max="3" width="25.5546875" bestFit="1" customWidth="1"/>
    <col min="4" max="4" width="16.33203125" bestFit="1" customWidth="1"/>
    <col min="5" max="5" width="13.44140625" bestFit="1" customWidth="1"/>
    <col min="6" max="6" width="6.33203125" bestFit="1" customWidth="1"/>
    <col min="7" max="8" width="12" bestFit="1" customWidth="1"/>
    <col min="9" max="9" width="12.6640625" bestFit="1" customWidth="1"/>
    <col min="10" max="10" width="4.109375" bestFit="1" customWidth="1"/>
    <col min="11" max="11" width="4.5546875" bestFit="1" customWidth="1"/>
    <col min="12" max="12" width="5.44140625" bestFit="1" customWidth="1"/>
  </cols>
  <sheetData>
    <row r="1" spans="1:5" x14ac:dyDescent="0.3">
      <c r="A1" t="s">
        <v>166</v>
      </c>
      <c r="B1" t="s">
        <v>267</v>
      </c>
      <c r="C1" t="s">
        <v>268</v>
      </c>
      <c r="D1" t="s">
        <v>269</v>
      </c>
      <c r="E1" t="s">
        <v>29</v>
      </c>
    </row>
    <row r="2" spans="1:5" x14ac:dyDescent="0.3">
      <c r="A2" t="s">
        <v>48</v>
      </c>
      <c r="B2">
        <v>2338</v>
      </c>
      <c r="C2" t="s">
        <v>270</v>
      </c>
      <c r="D2" t="s">
        <v>271</v>
      </c>
      <c r="E2">
        <v>2</v>
      </c>
    </row>
    <row r="3" spans="1:5" x14ac:dyDescent="0.3">
      <c r="A3" t="s">
        <v>65</v>
      </c>
      <c r="B3">
        <v>2302</v>
      </c>
      <c r="C3" t="s">
        <v>273</v>
      </c>
      <c r="D3" t="s">
        <v>271</v>
      </c>
      <c r="E3">
        <v>2</v>
      </c>
    </row>
    <row r="4" spans="1:5" x14ac:dyDescent="0.3">
      <c r="A4" t="s">
        <v>37</v>
      </c>
      <c r="B4">
        <v>2313</v>
      </c>
      <c r="C4" t="s">
        <v>274</v>
      </c>
      <c r="D4" t="s">
        <v>271</v>
      </c>
      <c r="E4">
        <v>2</v>
      </c>
    </row>
    <row r="5" spans="1:5" x14ac:dyDescent="0.3">
      <c r="A5" t="s">
        <v>44</v>
      </c>
      <c r="B5">
        <v>2555</v>
      </c>
      <c r="C5" t="s">
        <v>272</v>
      </c>
      <c r="D5" t="s">
        <v>271</v>
      </c>
      <c r="E5">
        <v>2</v>
      </c>
    </row>
    <row r="6" spans="1:5" x14ac:dyDescent="0.3">
      <c r="A6" t="s">
        <v>34</v>
      </c>
      <c r="B6">
        <v>2298</v>
      </c>
      <c r="C6" t="s">
        <v>275</v>
      </c>
      <c r="D6" t="s">
        <v>276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4.4" x14ac:dyDescent="0.3"/>
  <cols>
    <col min="1" max="1" width="29.6640625" bestFit="1" customWidth="1"/>
    <col min="2" max="2" width="23.109375" bestFit="1" customWidth="1"/>
    <col min="3" max="3" width="16.33203125" bestFit="1" customWidth="1"/>
    <col min="4" max="4" width="15.109375" bestFit="1" customWidth="1"/>
    <col min="5" max="5" width="25.5546875" bestFit="1" customWidth="1"/>
    <col min="6" max="6" width="8.109375" bestFit="1" customWidth="1"/>
    <col min="7" max="7" width="20.33203125" bestFit="1" customWidth="1"/>
    <col min="8" max="8" width="7.6640625" bestFit="1" customWidth="1"/>
    <col min="9" max="9" width="12.44140625" bestFit="1" customWidth="1"/>
    <col min="10" max="11" width="18.109375" bestFit="1" customWidth="1"/>
  </cols>
  <sheetData>
    <row r="1" spans="1:7" x14ac:dyDescent="0.3">
      <c r="A1" t="s">
        <v>166</v>
      </c>
      <c r="B1" t="s">
        <v>228</v>
      </c>
      <c r="C1" t="s">
        <v>269</v>
      </c>
      <c r="D1" t="s">
        <v>277</v>
      </c>
      <c r="E1" t="s">
        <v>268</v>
      </c>
      <c r="F1" t="s">
        <v>267</v>
      </c>
      <c r="G1" t="s">
        <v>278</v>
      </c>
    </row>
    <row r="2" spans="1:7" x14ac:dyDescent="0.3">
      <c r="A2" t="s">
        <v>34</v>
      </c>
      <c r="B2" t="s">
        <v>171</v>
      </c>
      <c r="C2" t="s">
        <v>276</v>
      </c>
      <c r="D2" t="s">
        <v>279</v>
      </c>
      <c r="E2" t="s">
        <v>275</v>
      </c>
      <c r="F2">
        <v>2298</v>
      </c>
      <c r="G2" t="s">
        <v>276</v>
      </c>
    </row>
    <row r="3" spans="1:7" x14ac:dyDescent="0.3">
      <c r="A3" t="s">
        <v>34</v>
      </c>
      <c r="B3" t="s">
        <v>231</v>
      </c>
      <c r="C3" t="s">
        <v>276</v>
      </c>
      <c r="D3" t="s">
        <v>279</v>
      </c>
      <c r="E3" t="s">
        <v>275</v>
      </c>
      <c r="F3">
        <v>2298</v>
      </c>
      <c r="G3" t="s">
        <v>276</v>
      </c>
    </row>
    <row r="4" spans="1:7" x14ac:dyDescent="0.3">
      <c r="A4" t="s">
        <v>37</v>
      </c>
      <c r="B4" t="s">
        <v>174</v>
      </c>
      <c r="C4" t="s">
        <v>271</v>
      </c>
      <c r="D4" t="s">
        <v>279</v>
      </c>
      <c r="E4" t="s">
        <v>274</v>
      </c>
      <c r="F4">
        <v>2313</v>
      </c>
      <c r="G4" t="s">
        <v>271</v>
      </c>
    </row>
    <row r="5" spans="1:7" x14ac:dyDescent="0.3">
      <c r="A5" t="s">
        <v>37</v>
      </c>
      <c r="B5" t="s">
        <v>173</v>
      </c>
      <c r="C5" t="s">
        <v>271</v>
      </c>
      <c r="D5" t="s">
        <v>279</v>
      </c>
      <c r="E5" t="s">
        <v>274</v>
      </c>
      <c r="F5">
        <v>2313</v>
      </c>
      <c r="G5" t="s">
        <v>271</v>
      </c>
    </row>
    <row r="6" spans="1:7" x14ac:dyDescent="0.3">
      <c r="A6" t="s">
        <v>37</v>
      </c>
      <c r="B6" t="s">
        <v>177</v>
      </c>
      <c r="C6" t="s">
        <v>271</v>
      </c>
      <c r="D6" t="s">
        <v>279</v>
      </c>
      <c r="E6" t="s">
        <v>274</v>
      </c>
      <c r="F6">
        <v>2313</v>
      </c>
      <c r="G6" t="s">
        <v>271</v>
      </c>
    </row>
    <row r="7" spans="1:7" x14ac:dyDescent="0.3">
      <c r="A7" t="s">
        <v>37</v>
      </c>
      <c r="B7" t="s">
        <v>181</v>
      </c>
      <c r="C7" t="s">
        <v>110</v>
      </c>
      <c r="D7" t="s">
        <v>280</v>
      </c>
      <c r="E7" t="s">
        <v>274</v>
      </c>
      <c r="F7">
        <v>2313</v>
      </c>
      <c r="G7" t="s">
        <v>110</v>
      </c>
    </row>
    <row r="8" spans="1:7" x14ac:dyDescent="0.3">
      <c r="A8" t="s">
        <v>37</v>
      </c>
      <c r="B8" t="s">
        <v>184</v>
      </c>
      <c r="C8" t="s">
        <v>271</v>
      </c>
      <c r="D8" t="s">
        <v>279</v>
      </c>
      <c r="E8" t="s">
        <v>274</v>
      </c>
      <c r="F8">
        <v>2313</v>
      </c>
      <c r="G8" t="s">
        <v>271</v>
      </c>
    </row>
    <row r="9" spans="1:7" x14ac:dyDescent="0.3">
      <c r="A9" t="s">
        <v>37</v>
      </c>
      <c r="B9" t="s">
        <v>232</v>
      </c>
      <c r="C9" t="s">
        <v>276</v>
      </c>
      <c r="D9" t="s">
        <v>279</v>
      </c>
      <c r="E9" t="s">
        <v>274</v>
      </c>
      <c r="F9">
        <v>2313</v>
      </c>
      <c r="G9" t="s">
        <v>276</v>
      </c>
    </row>
    <row r="10" spans="1:7" x14ac:dyDescent="0.3">
      <c r="A10" t="s">
        <v>37</v>
      </c>
      <c r="B10" t="s">
        <v>185</v>
      </c>
      <c r="C10" t="s">
        <v>276</v>
      </c>
      <c r="D10" t="s">
        <v>279</v>
      </c>
      <c r="E10" t="s">
        <v>274</v>
      </c>
      <c r="F10">
        <v>2313</v>
      </c>
      <c r="G10" t="s">
        <v>276</v>
      </c>
    </row>
    <row r="11" spans="1:7" x14ac:dyDescent="0.3">
      <c r="A11" t="s">
        <v>37</v>
      </c>
      <c r="B11" t="s">
        <v>233</v>
      </c>
      <c r="C11" t="s">
        <v>276</v>
      </c>
      <c r="D11" t="s">
        <v>279</v>
      </c>
      <c r="E11" t="s">
        <v>274</v>
      </c>
      <c r="F11">
        <v>2313</v>
      </c>
      <c r="G11" t="s">
        <v>276</v>
      </c>
    </row>
    <row r="12" spans="1:7" x14ac:dyDescent="0.3">
      <c r="A12" t="s">
        <v>37</v>
      </c>
      <c r="B12" t="s">
        <v>234</v>
      </c>
      <c r="C12" t="s">
        <v>276</v>
      </c>
      <c r="D12" t="s">
        <v>279</v>
      </c>
      <c r="E12" t="s">
        <v>274</v>
      </c>
      <c r="F12">
        <v>2313</v>
      </c>
      <c r="G12" t="s">
        <v>276</v>
      </c>
    </row>
    <row r="13" spans="1:7" x14ac:dyDescent="0.3">
      <c r="A13" t="s">
        <v>37</v>
      </c>
      <c r="B13" t="s">
        <v>235</v>
      </c>
      <c r="C13" t="s">
        <v>276</v>
      </c>
      <c r="D13" t="s">
        <v>279</v>
      </c>
      <c r="E13" t="s">
        <v>274</v>
      </c>
      <c r="F13">
        <v>2313</v>
      </c>
      <c r="G13" t="s">
        <v>276</v>
      </c>
    </row>
    <row r="14" spans="1:7" x14ac:dyDescent="0.3">
      <c r="A14" t="s">
        <v>37</v>
      </c>
      <c r="B14" t="s">
        <v>170</v>
      </c>
      <c r="C14" t="s">
        <v>276</v>
      </c>
      <c r="D14" t="s">
        <v>279</v>
      </c>
      <c r="E14" t="s">
        <v>274</v>
      </c>
      <c r="F14">
        <v>2313</v>
      </c>
      <c r="G14" t="s">
        <v>276</v>
      </c>
    </row>
    <row r="15" spans="1:7" x14ac:dyDescent="0.3">
      <c r="A15" t="s">
        <v>37</v>
      </c>
      <c r="B15" t="s">
        <v>236</v>
      </c>
      <c r="C15" t="s">
        <v>110</v>
      </c>
      <c r="D15" t="s">
        <v>281</v>
      </c>
      <c r="E15" t="s">
        <v>274</v>
      </c>
      <c r="F15">
        <v>2313</v>
      </c>
      <c r="G15" t="s">
        <v>110</v>
      </c>
    </row>
    <row r="16" spans="1:7" x14ac:dyDescent="0.3">
      <c r="A16" t="s">
        <v>37</v>
      </c>
      <c r="B16" t="s">
        <v>237</v>
      </c>
      <c r="C16" t="s">
        <v>276</v>
      </c>
      <c r="D16" t="s">
        <v>279</v>
      </c>
      <c r="E16" t="s">
        <v>274</v>
      </c>
      <c r="F16">
        <v>2313</v>
      </c>
      <c r="G16" t="s">
        <v>276</v>
      </c>
    </row>
    <row r="17" spans="1:7" x14ac:dyDescent="0.3">
      <c r="A17" t="s">
        <v>37</v>
      </c>
      <c r="B17" t="s">
        <v>238</v>
      </c>
      <c r="C17" t="s">
        <v>271</v>
      </c>
      <c r="D17" t="s">
        <v>279</v>
      </c>
      <c r="E17" t="s">
        <v>274</v>
      </c>
      <c r="F17">
        <v>2313</v>
      </c>
      <c r="G17" t="s">
        <v>271</v>
      </c>
    </row>
    <row r="18" spans="1:7" x14ac:dyDescent="0.3">
      <c r="A18" t="s">
        <v>37</v>
      </c>
      <c r="B18" t="s">
        <v>239</v>
      </c>
      <c r="C18" t="s">
        <v>271</v>
      </c>
      <c r="D18" t="s">
        <v>279</v>
      </c>
      <c r="E18" t="s">
        <v>274</v>
      </c>
      <c r="F18">
        <v>2313</v>
      </c>
      <c r="G18" t="s">
        <v>271</v>
      </c>
    </row>
    <row r="19" spans="1:7" x14ac:dyDescent="0.3">
      <c r="A19" t="s">
        <v>48</v>
      </c>
      <c r="B19" t="s">
        <v>240</v>
      </c>
      <c r="C19" t="s">
        <v>110</v>
      </c>
      <c r="D19" t="s">
        <v>281</v>
      </c>
      <c r="E19" t="s">
        <v>270</v>
      </c>
      <c r="F19">
        <v>2338</v>
      </c>
      <c r="G19" t="s">
        <v>110</v>
      </c>
    </row>
    <row r="20" spans="1:7" x14ac:dyDescent="0.3">
      <c r="A20" t="s">
        <v>48</v>
      </c>
      <c r="B20" t="s">
        <v>241</v>
      </c>
      <c r="C20" t="s">
        <v>276</v>
      </c>
      <c r="D20" t="s">
        <v>279</v>
      </c>
      <c r="E20" t="s">
        <v>270</v>
      </c>
      <c r="F20">
        <v>2338</v>
      </c>
      <c r="G20" t="s">
        <v>276</v>
      </c>
    </row>
    <row r="21" spans="1:7" x14ac:dyDescent="0.3">
      <c r="A21" t="s">
        <v>48</v>
      </c>
      <c r="B21" t="s">
        <v>242</v>
      </c>
      <c r="C21" t="s">
        <v>276</v>
      </c>
      <c r="D21" t="s">
        <v>279</v>
      </c>
      <c r="E21" t="s">
        <v>270</v>
      </c>
      <c r="F21">
        <v>2338</v>
      </c>
      <c r="G21" t="s">
        <v>276</v>
      </c>
    </row>
    <row r="22" spans="1:7" x14ac:dyDescent="0.3">
      <c r="A22" t="s">
        <v>48</v>
      </c>
      <c r="B22" t="s">
        <v>243</v>
      </c>
      <c r="C22" t="s">
        <v>271</v>
      </c>
      <c r="D22" t="s">
        <v>279</v>
      </c>
      <c r="E22" t="s">
        <v>270</v>
      </c>
      <c r="F22">
        <v>2338</v>
      </c>
      <c r="G22" t="s">
        <v>271</v>
      </c>
    </row>
    <row r="23" spans="1:7" x14ac:dyDescent="0.3">
      <c r="A23" t="s">
        <v>48</v>
      </c>
      <c r="B23" t="s">
        <v>186</v>
      </c>
      <c r="C23" t="s">
        <v>276</v>
      </c>
      <c r="D23" t="s">
        <v>279</v>
      </c>
      <c r="E23" t="s">
        <v>270</v>
      </c>
      <c r="F23">
        <v>2338</v>
      </c>
      <c r="G23" t="s">
        <v>276</v>
      </c>
    </row>
    <row r="24" spans="1:7" x14ac:dyDescent="0.3">
      <c r="A24" t="s">
        <v>48</v>
      </c>
      <c r="B24" t="s">
        <v>244</v>
      </c>
      <c r="C24" t="s">
        <v>110</v>
      </c>
      <c r="D24" t="s">
        <v>281</v>
      </c>
      <c r="E24" t="s">
        <v>270</v>
      </c>
      <c r="F24">
        <v>2338</v>
      </c>
      <c r="G24" t="s">
        <v>110</v>
      </c>
    </row>
    <row r="25" spans="1:7" x14ac:dyDescent="0.3">
      <c r="A25" t="s">
        <v>48</v>
      </c>
      <c r="B25" t="s">
        <v>180</v>
      </c>
      <c r="C25" t="s">
        <v>276</v>
      </c>
      <c r="D25" t="s">
        <v>279</v>
      </c>
      <c r="E25" t="s">
        <v>270</v>
      </c>
      <c r="F25">
        <v>2338</v>
      </c>
      <c r="G25" t="s">
        <v>276</v>
      </c>
    </row>
    <row r="26" spans="1:7" x14ac:dyDescent="0.3">
      <c r="A26" t="s">
        <v>48</v>
      </c>
      <c r="B26" t="s">
        <v>169</v>
      </c>
      <c r="C26" t="s">
        <v>276</v>
      </c>
      <c r="D26" t="s">
        <v>279</v>
      </c>
      <c r="E26" t="s">
        <v>270</v>
      </c>
      <c r="F26">
        <v>2338</v>
      </c>
      <c r="G26" t="s">
        <v>276</v>
      </c>
    </row>
    <row r="27" spans="1:7" x14ac:dyDescent="0.3">
      <c r="A27" t="s">
        <v>48</v>
      </c>
      <c r="B27" t="s">
        <v>245</v>
      </c>
      <c r="C27" t="s">
        <v>110</v>
      </c>
      <c r="D27" t="s">
        <v>281</v>
      </c>
      <c r="E27" t="s">
        <v>270</v>
      </c>
      <c r="F27">
        <v>2338</v>
      </c>
      <c r="G27" t="s">
        <v>110</v>
      </c>
    </row>
    <row r="28" spans="1:7" x14ac:dyDescent="0.3">
      <c r="A28" t="s">
        <v>48</v>
      </c>
      <c r="B28" t="s">
        <v>175</v>
      </c>
      <c r="C28" t="s">
        <v>271</v>
      </c>
      <c r="D28" t="s">
        <v>279</v>
      </c>
      <c r="E28" t="s">
        <v>270</v>
      </c>
      <c r="F28">
        <v>2338</v>
      </c>
      <c r="G28" t="s">
        <v>271</v>
      </c>
    </row>
    <row r="29" spans="1:7" x14ac:dyDescent="0.3">
      <c r="A29" t="s">
        <v>48</v>
      </c>
      <c r="B29" t="s">
        <v>178</v>
      </c>
      <c r="C29" t="s">
        <v>271</v>
      </c>
      <c r="D29" t="s">
        <v>280</v>
      </c>
      <c r="E29" t="s">
        <v>270</v>
      </c>
      <c r="F29">
        <v>2338</v>
      </c>
      <c r="G29" t="s">
        <v>271</v>
      </c>
    </row>
    <row r="30" spans="1:7" x14ac:dyDescent="0.3">
      <c r="A30" t="s">
        <v>48</v>
      </c>
      <c r="B30" t="s">
        <v>172</v>
      </c>
      <c r="C30" t="s">
        <v>271</v>
      </c>
      <c r="D30" t="s">
        <v>279</v>
      </c>
      <c r="E30" t="s">
        <v>270</v>
      </c>
      <c r="F30">
        <v>2338</v>
      </c>
      <c r="G30" t="s">
        <v>271</v>
      </c>
    </row>
    <row r="31" spans="1:7" x14ac:dyDescent="0.3">
      <c r="A31" t="s">
        <v>48</v>
      </c>
      <c r="B31" t="s">
        <v>246</v>
      </c>
      <c r="C31" t="s">
        <v>110</v>
      </c>
      <c r="D31" t="s">
        <v>280</v>
      </c>
      <c r="E31" t="s">
        <v>270</v>
      </c>
      <c r="F31">
        <v>2338</v>
      </c>
      <c r="G31" t="s">
        <v>110</v>
      </c>
    </row>
    <row r="32" spans="1:7" x14ac:dyDescent="0.3">
      <c r="A32" t="s">
        <v>48</v>
      </c>
      <c r="B32" t="s">
        <v>247</v>
      </c>
      <c r="C32" t="s">
        <v>276</v>
      </c>
      <c r="D32" t="s">
        <v>279</v>
      </c>
      <c r="E32" t="s">
        <v>270</v>
      </c>
      <c r="F32">
        <v>2338</v>
      </c>
      <c r="G32" t="s">
        <v>276</v>
      </c>
    </row>
    <row r="33" spans="1:7" x14ac:dyDescent="0.3">
      <c r="A33" t="s">
        <v>48</v>
      </c>
      <c r="B33" t="s">
        <v>248</v>
      </c>
      <c r="C33" t="s">
        <v>276</v>
      </c>
      <c r="D33" t="s">
        <v>279</v>
      </c>
      <c r="E33" t="s">
        <v>270</v>
      </c>
      <c r="F33">
        <v>2338</v>
      </c>
      <c r="G33" t="s">
        <v>276</v>
      </c>
    </row>
    <row r="34" spans="1:7" x14ac:dyDescent="0.3">
      <c r="A34" t="s">
        <v>48</v>
      </c>
      <c r="B34" t="s">
        <v>249</v>
      </c>
      <c r="C34" t="s">
        <v>110</v>
      </c>
      <c r="D34" t="s">
        <v>280</v>
      </c>
      <c r="E34" t="s">
        <v>270</v>
      </c>
      <c r="F34">
        <v>2338</v>
      </c>
      <c r="G34" t="s">
        <v>110</v>
      </c>
    </row>
    <row r="35" spans="1:7" x14ac:dyDescent="0.3">
      <c r="A35" t="s">
        <v>48</v>
      </c>
      <c r="B35" t="s">
        <v>250</v>
      </c>
      <c r="C35" t="s">
        <v>110</v>
      </c>
      <c r="D35" t="s">
        <v>280</v>
      </c>
      <c r="E35" t="s">
        <v>270</v>
      </c>
      <c r="F35">
        <v>2338</v>
      </c>
      <c r="G35" t="s">
        <v>110</v>
      </c>
    </row>
    <row r="36" spans="1:7" x14ac:dyDescent="0.3">
      <c r="A36" t="s">
        <v>48</v>
      </c>
      <c r="B36" t="s">
        <v>251</v>
      </c>
      <c r="C36" t="s">
        <v>110</v>
      </c>
      <c r="D36" t="s">
        <v>281</v>
      </c>
      <c r="E36" t="s">
        <v>270</v>
      </c>
      <c r="F36">
        <v>2338</v>
      </c>
      <c r="G36" t="s">
        <v>110</v>
      </c>
    </row>
    <row r="37" spans="1:7" x14ac:dyDescent="0.3">
      <c r="A37" t="s">
        <v>48</v>
      </c>
      <c r="B37" t="s">
        <v>252</v>
      </c>
      <c r="C37" t="s">
        <v>110</v>
      </c>
      <c r="D37" t="s">
        <v>281</v>
      </c>
      <c r="E37" t="s">
        <v>270</v>
      </c>
      <c r="F37">
        <v>2338</v>
      </c>
      <c r="G37" t="s">
        <v>110</v>
      </c>
    </row>
    <row r="38" spans="1:7" x14ac:dyDescent="0.3">
      <c r="A38" t="s">
        <v>48</v>
      </c>
      <c r="B38" t="s">
        <v>253</v>
      </c>
      <c r="C38" t="s">
        <v>110</v>
      </c>
      <c r="D38" t="s">
        <v>281</v>
      </c>
      <c r="E38" t="s">
        <v>270</v>
      </c>
      <c r="F38">
        <v>2338</v>
      </c>
      <c r="G38" t="s">
        <v>110</v>
      </c>
    </row>
    <row r="39" spans="1:7" x14ac:dyDescent="0.3">
      <c r="A39" t="s">
        <v>48</v>
      </c>
      <c r="B39" t="s">
        <v>254</v>
      </c>
      <c r="C39" t="s">
        <v>271</v>
      </c>
      <c r="D39" t="s">
        <v>279</v>
      </c>
      <c r="E39" t="s">
        <v>270</v>
      </c>
      <c r="F39">
        <v>2338</v>
      </c>
      <c r="G39" t="s">
        <v>271</v>
      </c>
    </row>
    <row r="40" spans="1:7" x14ac:dyDescent="0.3">
      <c r="A40" t="s">
        <v>48</v>
      </c>
      <c r="B40" t="s">
        <v>255</v>
      </c>
      <c r="C40" t="s">
        <v>271</v>
      </c>
      <c r="D40" t="s">
        <v>279</v>
      </c>
      <c r="E40" t="s">
        <v>270</v>
      </c>
      <c r="F40">
        <v>2338</v>
      </c>
      <c r="G40" t="s">
        <v>271</v>
      </c>
    </row>
    <row r="41" spans="1:7" x14ac:dyDescent="0.3">
      <c r="A41" t="s">
        <v>37</v>
      </c>
      <c r="B41" t="s">
        <v>168</v>
      </c>
      <c r="C41" t="s">
        <v>276</v>
      </c>
      <c r="D41" t="s">
        <v>280</v>
      </c>
      <c r="E41" t="s">
        <v>274</v>
      </c>
      <c r="F41">
        <v>2313</v>
      </c>
      <c r="G41" t="s">
        <v>276</v>
      </c>
    </row>
    <row r="42" spans="1:7" x14ac:dyDescent="0.3">
      <c r="A42" t="s">
        <v>65</v>
      </c>
      <c r="B42" t="s">
        <v>176</v>
      </c>
      <c r="C42" t="s">
        <v>271</v>
      </c>
      <c r="D42" t="s">
        <v>279</v>
      </c>
      <c r="E42" t="s">
        <v>273</v>
      </c>
      <c r="F42">
        <v>2302</v>
      </c>
      <c r="G42" t="s">
        <v>271</v>
      </c>
    </row>
    <row r="43" spans="1:7" x14ac:dyDescent="0.3">
      <c r="A43" t="s">
        <v>65</v>
      </c>
      <c r="B43" t="s">
        <v>256</v>
      </c>
      <c r="C43" t="s">
        <v>271</v>
      </c>
      <c r="D43" t="s">
        <v>279</v>
      </c>
      <c r="E43" t="s">
        <v>273</v>
      </c>
      <c r="F43">
        <v>2302</v>
      </c>
      <c r="G43" t="s">
        <v>271</v>
      </c>
    </row>
    <row r="44" spans="1:7" x14ac:dyDescent="0.3">
      <c r="A44" t="s">
        <v>65</v>
      </c>
      <c r="B44" t="s">
        <v>257</v>
      </c>
      <c r="C44" t="s">
        <v>271</v>
      </c>
      <c r="D44" t="s">
        <v>279</v>
      </c>
      <c r="E44" t="s">
        <v>273</v>
      </c>
      <c r="F44">
        <v>2302</v>
      </c>
      <c r="G44" t="s">
        <v>271</v>
      </c>
    </row>
    <row r="45" spans="1:7" x14ac:dyDescent="0.3">
      <c r="A45" t="s">
        <v>65</v>
      </c>
      <c r="B45" t="s">
        <v>258</v>
      </c>
      <c r="C45" t="s">
        <v>271</v>
      </c>
      <c r="D45" t="s">
        <v>280</v>
      </c>
      <c r="E45" t="s">
        <v>273</v>
      </c>
      <c r="F45">
        <v>2302</v>
      </c>
      <c r="G45" t="s">
        <v>271</v>
      </c>
    </row>
    <row r="46" spans="1:7" x14ac:dyDescent="0.3">
      <c r="A46" t="s">
        <v>65</v>
      </c>
      <c r="B46" t="s">
        <v>259</v>
      </c>
      <c r="C46" t="s">
        <v>276</v>
      </c>
      <c r="D46" t="s">
        <v>279</v>
      </c>
      <c r="E46" t="s">
        <v>273</v>
      </c>
      <c r="F46">
        <v>2302</v>
      </c>
      <c r="G46" t="s">
        <v>276</v>
      </c>
    </row>
    <row r="47" spans="1:7" x14ac:dyDescent="0.3">
      <c r="A47" t="s">
        <v>65</v>
      </c>
      <c r="B47" t="s">
        <v>183</v>
      </c>
      <c r="C47" t="s">
        <v>276</v>
      </c>
      <c r="D47" t="s">
        <v>279</v>
      </c>
      <c r="E47" t="s">
        <v>273</v>
      </c>
      <c r="F47">
        <v>2302</v>
      </c>
      <c r="G47" t="s">
        <v>276</v>
      </c>
    </row>
    <row r="48" spans="1:7" x14ac:dyDescent="0.3">
      <c r="A48" t="s">
        <v>65</v>
      </c>
      <c r="B48" t="s">
        <v>260</v>
      </c>
      <c r="C48" t="s">
        <v>276</v>
      </c>
      <c r="D48" t="s">
        <v>279</v>
      </c>
      <c r="E48" t="s">
        <v>273</v>
      </c>
      <c r="F48">
        <v>2302</v>
      </c>
      <c r="G48" t="s">
        <v>276</v>
      </c>
    </row>
    <row r="49" spans="1:7" x14ac:dyDescent="0.3">
      <c r="A49" t="s">
        <v>65</v>
      </c>
      <c r="B49" t="s">
        <v>261</v>
      </c>
      <c r="C49" t="s">
        <v>276</v>
      </c>
      <c r="D49" t="s">
        <v>279</v>
      </c>
      <c r="E49" t="s">
        <v>273</v>
      </c>
      <c r="F49">
        <v>2302</v>
      </c>
      <c r="G49" t="s">
        <v>276</v>
      </c>
    </row>
    <row r="50" spans="1:7" x14ac:dyDescent="0.3">
      <c r="A50" t="s">
        <v>65</v>
      </c>
      <c r="B50" t="s">
        <v>262</v>
      </c>
      <c r="C50" t="s">
        <v>110</v>
      </c>
      <c r="D50" t="s">
        <v>281</v>
      </c>
      <c r="E50" t="s">
        <v>273</v>
      </c>
      <c r="F50">
        <v>2302</v>
      </c>
      <c r="G50" t="s">
        <v>110</v>
      </c>
    </row>
    <row r="51" spans="1:7" x14ac:dyDescent="0.3">
      <c r="A51" t="s">
        <v>34</v>
      </c>
      <c r="B51" t="s">
        <v>263</v>
      </c>
      <c r="C51" t="s">
        <v>276</v>
      </c>
      <c r="D51" t="s">
        <v>279</v>
      </c>
      <c r="E51" t="s">
        <v>275</v>
      </c>
      <c r="F51">
        <v>2298</v>
      </c>
      <c r="G51" t="s">
        <v>276</v>
      </c>
    </row>
    <row r="52" spans="1:7" x14ac:dyDescent="0.3">
      <c r="A52" t="s">
        <v>44</v>
      </c>
      <c r="B52" t="s">
        <v>264</v>
      </c>
      <c r="C52" t="s">
        <v>271</v>
      </c>
      <c r="D52" t="s">
        <v>281</v>
      </c>
      <c r="E52" t="s">
        <v>272</v>
      </c>
      <c r="F52">
        <v>2555</v>
      </c>
      <c r="G52" t="s">
        <v>271</v>
      </c>
    </row>
    <row r="53" spans="1:7" x14ac:dyDescent="0.3">
      <c r="A53" t="s">
        <v>37</v>
      </c>
      <c r="B53" t="s">
        <v>265</v>
      </c>
      <c r="C53" t="s">
        <v>110</v>
      </c>
      <c r="D53" t="s">
        <v>281</v>
      </c>
      <c r="E53" t="s">
        <v>274</v>
      </c>
      <c r="F53">
        <v>2313</v>
      </c>
      <c r="G53" t="s">
        <v>110</v>
      </c>
    </row>
    <row r="54" spans="1:7" x14ac:dyDescent="0.3">
      <c r="A54" t="s">
        <v>37</v>
      </c>
      <c r="B54" t="s">
        <v>266</v>
      </c>
      <c r="C54" t="s">
        <v>110</v>
      </c>
      <c r="D54" t="s">
        <v>281</v>
      </c>
      <c r="E54" t="s">
        <v>274</v>
      </c>
      <c r="F54">
        <v>2313</v>
      </c>
      <c r="G54" t="s">
        <v>110</v>
      </c>
    </row>
    <row r="55" spans="1:7" x14ac:dyDescent="0.3">
      <c r="A55" t="s">
        <v>44</v>
      </c>
      <c r="B55" t="s">
        <v>189</v>
      </c>
      <c r="C55" t="s">
        <v>110</v>
      </c>
      <c r="D55" t="s">
        <v>281</v>
      </c>
      <c r="E55" t="s">
        <v>272</v>
      </c>
      <c r="F55">
        <v>2555</v>
      </c>
      <c r="G55" t="s">
        <v>110</v>
      </c>
    </row>
    <row r="56" spans="1:7" x14ac:dyDescent="0.3">
      <c r="A56" t="s">
        <v>48</v>
      </c>
      <c r="B56" t="s">
        <v>167</v>
      </c>
      <c r="C56" t="s">
        <v>276</v>
      </c>
      <c r="D56" t="s">
        <v>279</v>
      </c>
      <c r="E56" t="s">
        <v>270</v>
      </c>
      <c r="F56">
        <v>2338</v>
      </c>
      <c r="G56" t="s">
        <v>276</v>
      </c>
    </row>
    <row r="57" spans="1:7" x14ac:dyDescent="0.3">
      <c r="A57" t="s">
        <v>44</v>
      </c>
      <c r="B57" t="s">
        <v>179</v>
      </c>
      <c r="C57" t="s">
        <v>271</v>
      </c>
      <c r="D57" t="s">
        <v>281</v>
      </c>
      <c r="E57" t="s">
        <v>272</v>
      </c>
      <c r="F57">
        <v>2555</v>
      </c>
      <c r="G57" t="s">
        <v>271</v>
      </c>
    </row>
    <row r="58" spans="1:7" x14ac:dyDescent="0.3">
      <c r="A58" t="s">
        <v>37</v>
      </c>
      <c r="B58" t="s">
        <v>182</v>
      </c>
      <c r="C58" t="s">
        <v>276</v>
      </c>
      <c r="D58" t="s">
        <v>280</v>
      </c>
      <c r="E58" t="s">
        <v>274</v>
      </c>
      <c r="F58">
        <v>2313</v>
      </c>
      <c r="G58" t="s">
        <v>276</v>
      </c>
    </row>
    <row r="59" spans="1:7" x14ac:dyDescent="0.3">
      <c r="A59" t="s">
        <v>65</v>
      </c>
      <c r="B59" t="s">
        <v>368</v>
      </c>
      <c r="C59" t="s">
        <v>276</v>
      </c>
      <c r="D59" t="s">
        <v>279</v>
      </c>
      <c r="E59" t="s">
        <v>273</v>
      </c>
      <c r="F59">
        <v>2302</v>
      </c>
      <c r="G59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4.4" x14ac:dyDescent="0.3"/>
  <cols>
    <col min="1" max="1" width="11.5546875" bestFit="1" customWidth="1"/>
    <col min="2" max="2" width="10.6640625" bestFit="1" customWidth="1"/>
    <col min="3" max="3" width="14.44140625" bestFit="1" customWidth="1"/>
    <col min="4" max="4" width="7.44140625" bestFit="1" customWidth="1"/>
    <col min="5" max="5" width="9.5546875" bestFit="1" customWidth="1"/>
    <col min="6" max="6" width="17.5546875" bestFit="1" customWidth="1"/>
    <col min="7" max="7" width="19" bestFit="1" customWidth="1"/>
  </cols>
  <sheetData>
    <row r="1" spans="1:7" x14ac:dyDescent="0.3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3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3"/>
  <sheetViews>
    <sheetView workbookViewId="0">
      <selection sqref="A1:G8"/>
    </sheetView>
  </sheetViews>
  <sheetFormatPr defaultRowHeight="14.4" x14ac:dyDescent="0.3"/>
  <cols>
    <col min="1" max="1" width="11.5546875" bestFit="1" customWidth="1"/>
    <col min="2" max="2" width="10.6640625" bestFit="1" customWidth="1"/>
    <col min="3" max="3" width="16.6640625" bestFit="1" customWidth="1"/>
    <col min="4" max="4" width="7.44140625" bestFit="1" customWidth="1"/>
    <col min="5" max="5" width="9.5546875" bestFit="1" customWidth="1"/>
    <col min="6" max="6" width="18.5546875" bestFit="1" customWidth="1"/>
    <col min="7" max="7" width="19" bestFit="1" customWidth="1"/>
  </cols>
  <sheetData>
    <row r="1" spans="1:7" x14ac:dyDescent="0.3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3">
      <c r="A2" s="2">
        <v>45628</v>
      </c>
      <c r="B2" s="2">
        <v>45635</v>
      </c>
      <c r="C2" t="s">
        <v>186</v>
      </c>
      <c r="D2">
        <v>9.65</v>
      </c>
      <c r="E2" t="s">
        <v>12</v>
      </c>
      <c r="F2" t="s">
        <v>48</v>
      </c>
      <c r="G2" t="s">
        <v>186</v>
      </c>
    </row>
    <row r="3" spans="1:7" x14ac:dyDescent="0.3">
      <c r="A3" s="2">
        <v>45628</v>
      </c>
      <c r="B3" s="2">
        <v>45635</v>
      </c>
      <c r="C3" t="s">
        <v>182</v>
      </c>
      <c r="D3">
        <v>3</v>
      </c>
      <c r="E3" t="s">
        <v>12</v>
      </c>
      <c r="F3" t="s">
        <v>37</v>
      </c>
      <c r="G3" t="s">
        <v>182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4.4" x14ac:dyDescent="0.3"/>
  <cols>
    <col min="1" max="1" width="16.88671875" customWidth="1"/>
    <col min="2" max="2" width="20.6640625" customWidth="1"/>
    <col min="3" max="3" width="20.33203125" customWidth="1"/>
    <col min="4" max="4" width="10.6640625" customWidth="1"/>
  </cols>
  <sheetData>
    <row r="2" spans="1:5" x14ac:dyDescent="0.3">
      <c r="A2" s="1" t="s">
        <v>285</v>
      </c>
      <c r="B2" s="1" t="s">
        <v>286</v>
      </c>
    </row>
    <row r="3" spans="1:5" x14ac:dyDescent="0.3">
      <c r="A3" s="1" t="s">
        <v>287</v>
      </c>
      <c r="B3" t="str" cm="1">
        <f t="array" aca="1" ref="B3" ca="1">LEFT(CELL("filename",A1),FIND("[",CELL("filename",A1))-1)</f>
        <v>https://thebottomline491.sharepoint.com/sites/BookkeepersPortal/Shared Documents/Team Folder/BIG STAR/VDP/2025/1-Jan/01.03.25/</v>
      </c>
    </row>
    <row r="4" spans="1:5" x14ac:dyDescent="0.3">
      <c r="A4" s="1" t="s">
        <v>288</v>
      </c>
      <c r="B4" t="str" cm="1">
        <f t="array" aca="1" ref="B4" ca="1">LEFT(CELL("filename",A1),FIND("VDP",CELL("filename",A1))-1)</f>
        <v>https://thebottomline491.sharepoint.com/sites/BookkeepersPortal/Shared Documents/Team Folder/BIG STAR/</v>
      </c>
    </row>
    <row r="9" spans="1:5" x14ac:dyDescent="0.3">
      <c r="A9" s="1" t="s">
        <v>285</v>
      </c>
      <c r="B9" s="1" t="s">
        <v>289</v>
      </c>
      <c r="C9" s="1" t="s">
        <v>290</v>
      </c>
      <c r="D9" s="1" t="s">
        <v>291</v>
      </c>
      <c r="E9" s="1" t="s">
        <v>292</v>
      </c>
    </row>
    <row r="10" spans="1:5" x14ac:dyDescent="0.3">
      <c r="A10" t="s">
        <v>293</v>
      </c>
      <c r="B10" t="s">
        <v>312</v>
      </c>
      <c r="D10" t="s">
        <v>294</v>
      </c>
      <c r="E10" t="str">
        <f ca="1">CONCATENATE($B$3,A10,B10)</f>
        <v>https://thebottomline491.sharepoint.com/sites/BookkeepersPortal/Shared Documents/Team Folder/BIG STAR/VDP/2025/1-Jan/01.03.25/RAW DATA\UBER REPORT\</v>
      </c>
    </row>
    <row r="11" spans="1:5" x14ac:dyDescent="0.3">
      <c r="A11" t="s">
        <v>293</v>
      </c>
      <c r="B11" t="s">
        <v>295</v>
      </c>
      <c r="D11" t="s">
        <v>296</v>
      </c>
      <c r="E11" t="str">
        <f ca="1">CONCATENATE($B$3,A11,B11)</f>
        <v>https://thebottomline491.sharepoint.com/sites/BookkeepersPortal/Shared Documents/Team Folder/BIG STAR/VDP/2025/1-Jan/01.03.25/RAW DATA\FIRST REPORT\</v>
      </c>
    </row>
    <row r="12" spans="1:5" x14ac:dyDescent="0.3">
      <c r="C12" t="s">
        <v>297</v>
      </c>
      <c r="D12" t="s">
        <v>298</v>
      </c>
      <c r="E12" t="str">
        <f ca="1">CONCATENATE($B$3,A12,B12,C12)</f>
        <v>https://thebottomline491.sharepoint.com/sites/BookkeepersPortal/Shared Documents/Team Folder/BIG STAR/VDP/2025/1-Jan/01.03.25/Operator Deductions-Other Earnings.xlsx</v>
      </c>
    </row>
    <row r="13" spans="1:5" x14ac:dyDescent="0.3">
      <c r="C13" t="s">
        <v>299</v>
      </c>
      <c r="D13" t="s">
        <v>300</v>
      </c>
      <c r="E13" t="str">
        <f ca="1">CONCATENATE($B$4,B13,A13,C13)</f>
        <v>https://thebottomline491.sharepoint.com/sites/BookkeepersPortal/Shared Documents/Team Folder/BIG STAR/DIV 2 Partner List.xlsx</v>
      </c>
    </row>
    <row r="14" spans="1:5" x14ac:dyDescent="0.3">
      <c r="C14" t="s">
        <v>301</v>
      </c>
      <c r="D14" t="s">
        <v>302</v>
      </c>
      <c r="E14" t="str">
        <f ca="1">CONCATENATE($B$4,B14,A14,C14)</f>
        <v>https://thebottomline491.sharepoint.com/sites/BookkeepersPortal/Shared Documents/Team Folder/BIG STAR/DIV 2 Partner Rates.xlsx</v>
      </c>
    </row>
    <row r="15" spans="1:5" x14ac:dyDescent="0.3">
      <c r="C15" t="s">
        <v>303</v>
      </c>
      <c r="D15" t="s">
        <v>304</v>
      </c>
      <c r="E15" t="str">
        <f ca="1">CONCATENATE($B$4,B15,A15,C15)</f>
        <v>https://thebottomline491.sharepoint.com/sites/BookkeepersPortal/Shared Documents/Team Folder/BIG STAR/DIV 2 Partner Change.xlsx</v>
      </c>
    </row>
    <row r="16" spans="1:5" x14ac:dyDescent="0.3">
      <c r="C16" t="s">
        <v>305</v>
      </c>
      <c r="D16" t="s">
        <v>306</v>
      </c>
      <c r="E16" t="str">
        <f ca="1">CONCATENATE($B$3,B16,A16,C16)</f>
        <v>https://thebottomline491.sharepoint.com/sites/BookkeepersPortal/Shared Documents/Team Folder/BIG STAR/VDP/2025/1-Jan/01.03.25/MPG per vehicle.xlsx</v>
      </c>
    </row>
    <row r="17" spans="1:5" x14ac:dyDescent="0.3">
      <c r="C17" t="s">
        <v>307</v>
      </c>
      <c r="D17" t="s">
        <v>308</v>
      </c>
      <c r="E17" t="str">
        <f ca="1">CONCATENATE($B$3,B17,A17,C17)</f>
        <v>https://thebottomline491.sharepoint.com/sites/BookkeepersPortal/Shared Documents/Team Folder/BIG STAR/VDP/2025/1-Jan/01.03.25/AAA Fuel Record.xlsx</v>
      </c>
    </row>
    <row r="18" spans="1:5" x14ac:dyDescent="0.3">
      <c r="A18" t="s">
        <v>293</v>
      </c>
      <c r="B18" t="s">
        <v>309</v>
      </c>
      <c r="D18" t="s">
        <v>310</v>
      </c>
      <c r="E18" t="str">
        <f ca="1">CONCATENATE($B$3,A18,B18)</f>
        <v>https://thebottomline491.sharepoint.com/sites/BookkeepersPortal/Shared Documents/Team Folder/BIG STAR/VDP/2025/1-Jan/01.03.25/RAW DATA\Miles\</v>
      </c>
    </row>
    <row r="19" spans="1:5" x14ac:dyDescent="0.3">
      <c r="A19" t="s">
        <v>293</v>
      </c>
      <c r="B19" t="s">
        <v>24</v>
      </c>
      <c r="D19" t="s">
        <v>311</v>
      </c>
      <c r="E19" t="str">
        <f ca="1">CONCATENATE($B$3,A19,B19)</f>
        <v>https://thebottomline491.sharepoint.com/sites/BookkeepersPortal/Shared Documents/Team Folder/BIG STAR/VDP/2025/1-Jan/01.03.25/RAW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4.4" x14ac:dyDescent="0.3"/>
  <cols>
    <col min="1" max="1" width="42.33203125" bestFit="1" customWidth="1"/>
  </cols>
  <sheetData>
    <row r="1" spans="1:1" x14ac:dyDescent="0.3">
      <c r="A1" t="str" cm="1">
        <f t="array" ref="A1:A5">_xlfn.UNIQUE(Div2PartnerList[PARTNER NAME])</f>
        <v>BEYOND EXPRESS</v>
      </c>
    </row>
    <row r="2" spans="1:1" x14ac:dyDescent="0.3">
      <c r="A2" t="str">
        <v>CIRCLE TRANSIT</v>
      </c>
    </row>
    <row r="3" spans="1:1" x14ac:dyDescent="0.3">
      <c r="A3" t="str">
        <v>DIRECT TRANSIT LLC</v>
      </c>
    </row>
    <row r="4" spans="1:1" x14ac:dyDescent="0.3">
      <c r="A4" t="str">
        <v>Q-TELL TRANSIT LLC</v>
      </c>
    </row>
    <row r="5" spans="1:1" x14ac:dyDescent="0.3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5DE75F-F87F-446A-BD02-779E2881D03E}">
  <ds:schemaRefs>
    <ds:schemaRef ds:uri="http://schemas.openxmlformats.org/package/2006/metadata/core-properties"/>
    <ds:schemaRef ds:uri="http://purl.org/dc/terms/"/>
    <ds:schemaRef ds:uri="7f2e4ee4-515b-4d13-9a18-91f5c892a786"/>
    <ds:schemaRef ds:uri="http://schemas.microsoft.com/office/2006/documentManagement/types"/>
    <ds:schemaRef ds:uri="http://www.w3.org/XML/1998/namespace"/>
    <ds:schemaRef ds:uri="7da8d662-c373-4bdc-9a9f-4efd5212cc08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D3FCF30-2DB4-4B41-8E3D-7FA309FA5C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2EE5820-F490-4B8F-81EB-1D7E0A6D17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Chary Banan</cp:lastModifiedBy>
  <cp:revision/>
  <dcterms:created xsi:type="dcterms:W3CDTF">2023-08-16T16:37:36Z</dcterms:created>
  <dcterms:modified xsi:type="dcterms:W3CDTF">2025-01-13T19:20:54Z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