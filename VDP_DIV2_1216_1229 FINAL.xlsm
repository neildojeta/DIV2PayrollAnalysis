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thebottomline491.sharepoint.com/sites/BookkeepersPortal/Shared Documents/Team Folder/BIG STAR/VDP/2025/1-Jan/01.17.25/"/>
    </mc:Choice>
  </mc:AlternateContent>
  <xr:revisionPtr revIDLastSave="7" documentId="8_{0D8CC13E-4339-463C-A7BB-034A7951036B}" xr6:coauthVersionLast="47" xr6:coauthVersionMax="47" xr10:uidLastSave="{204A2B19-FB92-4571-8CD7-A4583E0121F5}"/>
  <bookViews>
    <workbookView xWindow="-108" yWindow="-108" windowWidth="23256" windowHeight="12456" firstSheet="1" activeTab="8" xr2:uid="{B8D06934-52C6-4BB8-B059-005FB850008B}"/>
  </bookViews>
  <sheets>
    <sheet name="SEND VDP Statement" sheetId="21" r:id="rId1"/>
    <sheet name="Pay Period" sheetId="3" r:id="rId2"/>
    <sheet name="Deduction and other Revenue" sheetId="11" state="hidden" r:id="rId3"/>
    <sheet name="PR" sheetId="12" r:id="rId4"/>
    <sheet name="PRExportPrep" sheetId="16" state="veryHidden" r:id="rId5"/>
    <sheet name="NewSheet" sheetId="8" r:id="rId6"/>
    <sheet name="VDPMVReport" sheetId="7" state="hidden" r:id="rId7"/>
    <sheet name="Sheet1" sheetId="22" r:id="rId8"/>
    <sheet name="SumVDPMVReport" sheetId="10" r:id="rId9"/>
    <sheet name="Div2PartnerOperatorCheck" sheetId="17" r:id="rId10"/>
    <sheet name="ExPre" sheetId="15" state="hidden" r:id="rId11"/>
    <sheet name="Div2PartnerListPR" sheetId="13" state="hidden" r:id="rId12"/>
    <sheet name="Div2PartnerList" sheetId="6" state="hidden" r:id="rId13"/>
    <sheet name="TollsChecks" sheetId="20" r:id="rId14"/>
    <sheet name="Tolls" sheetId="19" state="hidden" r:id="rId15"/>
    <sheet name="FilePath" sheetId="1" state="hidden" r:id="rId16"/>
    <sheet name="DropDown" sheetId="9" state="veryHidden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5" hidden="1">NewSheet!$B$11:$Q$29</definedName>
    <definedName name="Customer_ID">[1]INVOICE!$C$11</definedName>
    <definedName name="Customer_Name">[1]INVOICE!$H$7</definedName>
    <definedName name="ExternalData_1" localSheetId="12" hidden="1">Div2PartnerList!$A$1:$G$59</definedName>
    <definedName name="ExternalData_1" localSheetId="8" hidden="1">SumVDPMVReport!$A$1:$BJ$11</definedName>
    <definedName name="ExternalData_1" localSheetId="14" hidden="1">Tolls!$A$1:$G$2</definedName>
    <definedName name="ExternalData_2" localSheetId="2" hidden="1">'Deduction and other Revenue'!$A$1:$Q$26</definedName>
    <definedName name="ExternalData_2" localSheetId="11" hidden="1">Div2PartnerListPR!$A$1:$E$6</definedName>
    <definedName name="ExternalData_2" localSheetId="9" hidden="1">Div2PartnerOperatorCheck!$A$1:$D$59</definedName>
    <definedName name="ExternalData_2" localSheetId="13" hidden="1">TollsChecks!$A$1:$G$2</definedName>
    <definedName name="ExternalData_2" localSheetId="6" hidden="1">VDPMVReport!$A$1:$AK$38</definedName>
    <definedName name="FilePath1">FilePath!$E$10</definedName>
    <definedName name="FilePath10">FilePath!$E$19</definedName>
    <definedName name="FilePath2">FilePath!$E$13</definedName>
    <definedName name="FilePath3">FilePath!$E$14</definedName>
    <definedName name="FilePath4">FilePath!$E$12</definedName>
    <definedName name="FilePath5">FilePath!$E$11</definedName>
    <definedName name="FilePath6">FilePath!$E$15</definedName>
    <definedName name="FilePath7">FilePath!$E$16</definedName>
    <definedName name="FilePath8">FilePath!$E$17</definedName>
    <definedName name="FilePath9">FilePath!$E$18</definedName>
    <definedName name="List_Partners">OFFSET([2]DropDown!$A$3,1,,COUNTA([2]DropDown!$A$3:$A$99999)-1,1)</definedName>
    <definedName name="PartnerList">[3]!DIV10PartnerList[PARTNER NAME]</definedName>
    <definedName name="ref_ExportRange">PRExportPrep!$A$1</definedName>
  </definedNames>
  <calcPr calcId="191029"/>
  <pivotCaches>
    <pivotCache cacheId="0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22" l="1"/>
  <c r="F12" i="22"/>
  <c r="F11" i="22"/>
  <c r="F10" i="22"/>
  <c r="F9" i="22"/>
  <c r="F8" i="22"/>
  <c r="F6" i="22"/>
  <c r="F5" i="22"/>
  <c r="R17" i="12"/>
  <c r="S17" i="12"/>
  <c r="D3" i="3"/>
  <c r="B12" i="8" a="1"/>
  <c r="B12" i="8" s="1"/>
  <c r="AP12" i="15" l="1" a="1"/>
  <c r="AP12" i="15" s="1"/>
  <c r="AP6" i="15"/>
  <c r="AP5" i="15"/>
  <c r="AP4" i="15"/>
  <c r="AP3" i="15"/>
  <c r="AL3" i="15"/>
  <c r="AP7" i="15" l="1"/>
  <c r="D2" i="3" l="1"/>
  <c r="D11" i="12" l="1"/>
  <c r="D12" i="12"/>
  <c r="D13" i="12"/>
  <c r="B6" i="8" l="1" a="1"/>
  <c r="U8" i="8" l="1"/>
  <c r="V8" i="8"/>
  <c r="F8" i="8"/>
  <c r="T8" i="8"/>
  <c r="P8" i="8"/>
  <c r="S8" i="8"/>
  <c r="C8" i="8"/>
  <c r="H8" i="8"/>
  <c r="R8" i="8"/>
  <c r="K8" i="8"/>
  <c r="J8" i="8"/>
  <c r="I8" i="8"/>
  <c r="O8" i="8"/>
  <c r="L8" i="8"/>
  <c r="B6" i="8"/>
  <c r="B3" i="1" a="1"/>
  <c r="B3" i="1" s="1"/>
  <c r="E17" i="1" l="1"/>
  <c r="E19" i="1"/>
  <c r="E18" i="1"/>
  <c r="E16" i="1"/>
  <c r="P13" i="12" l="1" a="1"/>
  <c r="P13" i="12" s="1"/>
  <c r="P12" i="12" a="1"/>
  <c r="P12" i="12" s="1"/>
  <c r="P11" i="12" a="1"/>
  <c r="P11" i="12" s="1"/>
  <c r="O13" i="12" a="1"/>
  <c r="O13" i="12" s="1"/>
  <c r="O12" i="12" a="1"/>
  <c r="O12" i="12" s="1"/>
  <c r="O11" i="12" a="1"/>
  <c r="O11" i="12" s="1"/>
  <c r="N13" i="12" a="1"/>
  <c r="N13" i="12" s="1"/>
  <c r="N12" i="12" a="1"/>
  <c r="N12" i="12" s="1"/>
  <c r="N11" i="12" a="1"/>
  <c r="N11" i="12" s="1"/>
  <c r="M13" i="12" a="1"/>
  <c r="M13" i="12" s="1"/>
  <c r="M12" i="12" a="1"/>
  <c r="M12" i="12" s="1"/>
  <c r="M11" i="12" a="1"/>
  <c r="M11" i="12" s="1"/>
  <c r="L13" i="12" a="1"/>
  <c r="L13" i="12" s="1"/>
  <c r="L12" i="12" a="1"/>
  <c r="L12" i="12" s="1"/>
  <c r="L11" i="12" a="1"/>
  <c r="L11" i="12" s="1"/>
  <c r="J13" i="12" a="1"/>
  <c r="J13" i="12" s="1"/>
  <c r="J12" i="12" a="1"/>
  <c r="J12" i="12" s="1"/>
  <c r="J11" i="12" a="1"/>
  <c r="J11" i="12" s="1"/>
  <c r="I13" i="12" a="1"/>
  <c r="I13" i="12" s="1"/>
  <c r="I12" i="12" a="1"/>
  <c r="I12" i="12" s="1"/>
  <c r="I11" i="12" a="1"/>
  <c r="I11" i="12" s="1"/>
  <c r="H13" i="12" a="1"/>
  <c r="H13" i="12" s="1"/>
  <c r="H12" i="12" a="1"/>
  <c r="H12" i="12" s="1"/>
  <c r="H11" i="12" a="1"/>
  <c r="H11" i="12" s="1"/>
  <c r="G13" i="12" a="1"/>
  <c r="G13" i="12" s="1"/>
  <c r="G12" i="12" a="1"/>
  <c r="G12" i="12" s="1"/>
  <c r="G11" i="12" a="1"/>
  <c r="G11" i="12" s="1"/>
  <c r="K13" i="12" l="1" a="1"/>
  <c r="K13" i="12" s="1"/>
  <c r="K12" i="12" a="1"/>
  <c r="K12" i="12" s="1"/>
  <c r="K11" i="12" a="1"/>
  <c r="K11" i="12" s="1"/>
  <c r="E14" i="12" l="1"/>
  <c r="E17" i="12" s="1"/>
  <c r="AB6" i="8"/>
  <c r="AE6" i="8"/>
  <c r="AE5" i="8"/>
  <c r="AE4" i="8"/>
  <c r="AE3" i="8"/>
  <c r="AE7" i="8" l="1"/>
  <c r="A1" i="9" a="1"/>
  <c r="A1" i="9" s="1"/>
  <c r="X12" i="8" l="1" a="1"/>
  <c r="X12" i="8" s="1"/>
  <c r="AB4" i="8"/>
  <c r="F12" i="12" l="1"/>
  <c r="F13" i="12"/>
  <c r="Q13" i="12" l="1"/>
  <c r="Q12" i="12"/>
  <c r="A6" i="12" a="1"/>
  <c r="D10" i="12" l="1"/>
  <c r="L10" i="12" a="1"/>
  <c r="L10" i="12" s="1"/>
  <c r="P10" i="12" a="1"/>
  <c r="P10" i="12" s="1"/>
  <c r="N10" i="12" a="1"/>
  <c r="N10" i="12" s="1"/>
  <c r="G10" i="12" a="1"/>
  <c r="G10" i="12" s="1"/>
  <c r="I10" i="12" a="1"/>
  <c r="I10" i="12" s="1"/>
  <c r="M10" i="12" a="1"/>
  <c r="M10" i="12" s="1"/>
  <c r="O10" i="12" a="1"/>
  <c r="O10" i="12" s="1"/>
  <c r="J10" i="12" a="1"/>
  <c r="J10" i="12" s="1"/>
  <c r="H10" i="12" a="1"/>
  <c r="H10" i="12" s="1"/>
  <c r="K10" i="12" a="1"/>
  <c r="K10" i="12" s="1"/>
  <c r="D7" i="12"/>
  <c r="D8" i="12"/>
  <c r="D9" i="12"/>
  <c r="N7" i="12" a="1"/>
  <c r="N7" i="12" s="1"/>
  <c r="L9" i="12" a="1"/>
  <c r="L9" i="12" s="1"/>
  <c r="H8" i="12" a="1"/>
  <c r="H8" i="12" s="1"/>
  <c r="O9" i="12" a="1"/>
  <c r="O9" i="12" s="1"/>
  <c r="L8" i="12" a="1"/>
  <c r="L8" i="12" s="1"/>
  <c r="H7" i="12" a="1"/>
  <c r="H7" i="12" s="1"/>
  <c r="O8" i="12" a="1"/>
  <c r="O8" i="12" s="1"/>
  <c r="L7" i="12" a="1"/>
  <c r="L7" i="12" s="1"/>
  <c r="I9" i="12" a="1"/>
  <c r="I9" i="12" s="1"/>
  <c r="O7" i="12" a="1"/>
  <c r="O7" i="12" s="1"/>
  <c r="M9" i="12" a="1"/>
  <c r="M9" i="12" s="1"/>
  <c r="I8" i="12" a="1"/>
  <c r="I8" i="12" s="1"/>
  <c r="P9" i="12" a="1"/>
  <c r="P9" i="12" s="1"/>
  <c r="M8" i="12" a="1"/>
  <c r="M8" i="12" s="1"/>
  <c r="I7" i="12" a="1"/>
  <c r="I7" i="12" s="1"/>
  <c r="G9" i="12" a="1"/>
  <c r="G9" i="12" s="1"/>
  <c r="P8" i="12" a="1"/>
  <c r="P8" i="12" s="1"/>
  <c r="M7" i="12" a="1"/>
  <c r="M7" i="12" s="1"/>
  <c r="J9" i="12" a="1"/>
  <c r="J9" i="12" s="1"/>
  <c r="G8" i="12" a="1"/>
  <c r="G8" i="12" s="1"/>
  <c r="P7" i="12" a="1"/>
  <c r="P7" i="12" s="1"/>
  <c r="N9" i="12" a="1"/>
  <c r="N9" i="12" s="1"/>
  <c r="J8" i="12" a="1"/>
  <c r="J8" i="12" s="1"/>
  <c r="G7" i="12" a="1"/>
  <c r="G7" i="12" s="1"/>
  <c r="N8" i="12" a="1"/>
  <c r="N8" i="12" s="1"/>
  <c r="J7" i="12" a="1"/>
  <c r="J7" i="12" s="1"/>
  <c r="H9" i="12" a="1"/>
  <c r="H9" i="12" s="1"/>
  <c r="K9" i="12" a="1"/>
  <c r="K9" i="12" s="1"/>
  <c r="K8" i="12" a="1"/>
  <c r="K8" i="12" s="1"/>
  <c r="K7" i="12" a="1"/>
  <c r="K7" i="12" s="1"/>
  <c r="F11" i="12"/>
  <c r="F10" i="12"/>
  <c r="A6" i="12"/>
  <c r="C2" i="16" s="1" a="1"/>
  <c r="C2" i="16" s="1"/>
  <c r="F7" i="12"/>
  <c r="F8" i="12"/>
  <c r="F9" i="12"/>
  <c r="AB3" i="8"/>
  <c r="D6" i="12" l="1"/>
  <c r="J6" i="12" a="1"/>
  <c r="J6" i="12" s="1"/>
  <c r="J14" i="12" s="1"/>
  <c r="J17" i="12" s="1"/>
  <c r="N6" i="12" a="1"/>
  <c r="N6" i="12" s="1"/>
  <c r="N14" i="12" s="1"/>
  <c r="N17" i="12" s="1"/>
  <c r="H6" i="12" a="1"/>
  <c r="H6" i="12" s="1"/>
  <c r="H14" i="12" s="1"/>
  <c r="H17" i="12" s="1"/>
  <c r="L6" i="12" a="1"/>
  <c r="L6" i="12" s="1"/>
  <c r="L14" i="12" s="1"/>
  <c r="L17" i="12" s="1"/>
  <c r="O6" i="12" a="1"/>
  <c r="O6" i="12" s="1"/>
  <c r="O14" i="12" s="1"/>
  <c r="O17" i="12" s="1"/>
  <c r="I6" i="12" a="1"/>
  <c r="I6" i="12" s="1"/>
  <c r="I14" i="12" s="1"/>
  <c r="I17" i="12" s="1"/>
  <c r="M6" i="12" a="1"/>
  <c r="M6" i="12" s="1"/>
  <c r="M14" i="12" s="1"/>
  <c r="M17" i="12" s="1"/>
  <c r="P6" i="12" a="1"/>
  <c r="P6" i="12" s="1"/>
  <c r="P14" i="12" s="1"/>
  <c r="P17" i="12" s="1"/>
  <c r="G6" i="12" a="1"/>
  <c r="G6" i="12" s="1"/>
  <c r="G14" i="12" s="1"/>
  <c r="G17" i="12" s="1"/>
  <c r="K6" i="12" a="1"/>
  <c r="K6" i="12" s="1"/>
  <c r="K14" i="12" s="1"/>
  <c r="K17" i="12" s="1"/>
  <c r="Q11" i="12"/>
  <c r="Q10" i="12"/>
  <c r="Q9" i="12"/>
  <c r="Q8" i="12"/>
  <c r="Q7" i="12"/>
  <c r="F6" i="12"/>
  <c r="F14" i="12" s="1"/>
  <c r="F17" i="12" s="1"/>
  <c r="D14" i="12" l="1"/>
  <c r="D17" i="12" s="1"/>
  <c r="H2" i="16" a="1"/>
  <c r="H2" i="16" s="1"/>
  <c r="Q6" i="12"/>
  <c r="Q14" i="12" s="1"/>
  <c r="Q17" i="12" s="1"/>
  <c r="AB5" i="8"/>
  <c r="E2" i="16" l="1" a="1"/>
  <c r="E2" i="16" s="1"/>
  <c r="A1" i="16"/>
  <c r="O2" i="16" a="1"/>
  <c r="O2" i="16" s="1"/>
  <c r="F2" i="16" a="1"/>
  <c r="F2" i="16" s="1"/>
  <c r="I2" i="16" a="1"/>
  <c r="I2" i="16" s="1"/>
  <c r="D2" i="16" a="1"/>
  <c r="D2" i="16" s="1"/>
  <c r="L2" i="16" a="1"/>
  <c r="L2" i="16" s="1"/>
  <c r="P2" i="16" a="1"/>
  <c r="P2" i="16" s="1"/>
  <c r="K2" i="16" a="1"/>
  <c r="K2" i="16" s="1"/>
  <c r="N2" i="16" a="1"/>
  <c r="N2" i="16" s="1"/>
  <c r="M2" i="16" a="1"/>
  <c r="M2" i="16" s="1"/>
  <c r="J2" i="16" a="1"/>
  <c r="J2" i="16" s="1"/>
  <c r="AB7" i="8"/>
  <c r="Y3" i="8"/>
  <c r="Y5" i="8"/>
  <c r="Y4" i="8"/>
  <c r="Y6" i="8" l="1"/>
  <c r="I2" i="8" s="1"/>
  <c r="E8" i="8" l="1"/>
  <c r="D8" i="8"/>
  <c r="B4" i="1" l="1" a="1"/>
  <c r="B4" i="1" s="1"/>
  <c r="E15" i="1" l="1"/>
  <c r="E12" i="1"/>
  <c r="E11" i="1"/>
  <c r="E13" i="1"/>
  <c r="E14" i="1"/>
  <c r="E10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361FB0-495C-45F0-BC0C-D7116515F814}" keepAlive="1" name="Query - Deduction and other Revenue" description="Connection to the 'Deduction and other Revenue' query in the workbook." type="5" refreshedVersion="8" background="1" saveData="1">
    <dbPr connection="Provider=Microsoft.Mashup.OleDb.1;Data Source=$Workbook$;Location=&quot;Deduction and other Revenue&quot;;Extended Properties=&quot;&quot;" command="SELECT * FROM [Deduction and other Revenue]"/>
  </connection>
  <connection id="2" xr16:uid="{0C2C86D9-BB38-464B-B665-DCA6ED5D826A}" keepAlive="1" name="Query - Div2PartnerList" description="Connection to the 'Div2PartnerList' query in the workbook." type="5" refreshedVersion="8" background="1" saveData="1">
    <dbPr connection="Provider=Microsoft.Mashup.OleDb.1;Data Source=$Workbook$;Location=Div2PartnerList;Extended Properties=&quot;&quot;" command="SELECT * FROM [Div2PartnerList]"/>
  </connection>
  <connection id="3" xr16:uid="{0DB1C7E5-56F2-45C2-A46F-37675FF4BD2F}" keepAlive="1" name="Query - Div2PartnerListPR" description="Connection to the 'Div2PartnerListPR' query in the workbook." type="5" refreshedVersion="8" background="1" saveData="1">
    <dbPr connection="Provider=Microsoft.Mashup.OleDb.1;Data Source=$Workbook$;Location=Div2PartnerListPR;Extended Properties=&quot;&quot;" command="SELECT * FROM [Div2PartnerListPR]"/>
  </connection>
  <connection id="4" xr16:uid="{CC1A1F4F-FACF-488B-8173-B1A2F43DEA7C}" keepAlive="1" name="Query - Div2PartnerOperatorCheck" description="Connection to the 'Div2PartnerOperatorCheck' query in the workbook." type="5" refreshedVersion="8" background="1" saveData="1">
    <dbPr connection="Provider=Microsoft.Mashup.OleDb.1;Data Source=$Workbook$;Location=Div2PartnerOperatorCheck;Extended Properties=&quot;&quot;" command="SELECT * FROM [Div2PartnerOperatorCheck]"/>
  </connection>
  <connection id="5" xr16:uid="{7CB73171-D753-4827-B486-D44373A90F69}" keepAlive="1" name="Query - PartnerChange" description="Connection to the 'PartnerChange' query in the workbook." type="5" refreshedVersion="0" background="1">
    <dbPr connection="Provider=Microsoft.Mashup.OleDb.1;Data Source=$Workbook$;Location=PartnerChange;Extended Properties=&quot;&quot;" command="SELECT * FROM [PartnerChange]"/>
  </connection>
  <connection id="6" xr16:uid="{57AE3A95-1710-4029-B511-E02D4D234433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7" xr16:uid="{64867343-6B25-45ED-BCC1-54B9E4424DFC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8" xr16:uid="{A9F4C228-2FE3-4A80-ABD2-C3D3706D9EAA}" keepAlive="1" name="Query - SumVDPMVReport" description="Connection to the 'SumVDPMVReport' query in the workbook." type="5" refreshedVersion="8" background="1" saveData="1">
    <dbPr connection="Provider=Microsoft.Mashup.OleDb.1;Data Source=$Workbook$;Location=SumVDPMVReport;Extended Properties=&quot;&quot;" command="SELECT * FROM [SumVDPMVReport]"/>
  </connection>
  <connection id="9" xr16:uid="{9D9D2375-E9CD-4459-B27F-4FFA51B5124B}" keepAlive="1" name="Query - Tolls" description="Connection to the 'Tolls' query in the workbook." type="5" refreshedVersion="8" background="1" saveData="1">
    <dbPr connection="Provider=Microsoft.Mashup.OleDb.1;Data Source=$Workbook$;Location=Tolls;Extended Properties=&quot;&quot;" command="SELECT * FROM [Tolls]"/>
  </connection>
  <connection id="10" xr16:uid="{551E8EFA-A702-4A10-99AF-A488A159D840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1" xr16:uid="{92856D79-4B1E-4DF1-A061-D552458FC2EA}" keepAlive="1" name="Query - VDPMVReport" description="Connection to the 'VDPMVReport' query in the workbook." type="5" refreshedVersion="8" background="1" saveData="1">
    <dbPr connection="Provider=Microsoft.Mashup.OleDb.1;Data Source=$Workbook$;Location=VDPMVReport;Extended Properties=&quot;&quot;" command="SELECT * FROM [VDPMVReport]"/>
  </connection>
  <connection id="12" xr16:uid="{2206F676-F7F2-4644-87C2-FE1FFEF1BFFA}" keepAlive="1" name="Query - VDPMVReportMissingPartner" description="Connection to the 'VDPMVReportMissingPartner' query in the workbook." type="5" refreshedVersion="0" background="1">
    <dbPr connection="Provider=Microsoft.Mashup.OleDb.1;Data Source=$Workbook$;Location=VDPMVReportMissingPartner;Extended Properties=&quot;&quot;" command="SELECT * FROM [VDPMVReportMissingPartner]"/>
  </connection>
  <connection id="13" xr16:uid="{D3BEFF22-7E86-48A6-ACF7-7A13B3BD8CEA}" keepAlive="1" name="Query - VDPMVReportOperatorCheck" description="Connection to the 'VDPMVReportOperatorCheck' query in the workbook." type="5" refreshedVersion="8" background="1" saveData="1">
    <dbPr connection="Provider=Microsoft.Mashup.OleDb.1;Data Source=$Workbook$;Location=VDPMVReportOperatorCheck;Extended Properties=&quot;&quot;" command="SELECT * FROM [VDPMVReportOperatorCheck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<sst xmlns="http://schemas.openxmlformats.org/spreadsheetml/2006/main" count="1194" uniqueCount="370">
  <si>
    <t>TBL WILL SEND OUT THE STATEMENT TO THE PARTNERS AFTER IT HAS BEEN APPROVED BY MANAGEMENT</t>
  </si>
  <si>
    <t>Type</t>
  </si>
  <si>
    <t>Start</t>
  </si>
  <si>
    <t>End</t>
  </si>
  <si>
    <t>Week#</t>
  </si>
  <si>
    <t>Per Normal Hour</t>
  </si>
  <si>
    <t>Per Bonus Hour</t>
  </si>
  <si>
    <t>Utilization Target</t>
  </si>
  <si>
    <t>Tier 1 ARDCRI Rate</t>
  </si>
  <si>
    <t>Tier 2 ARDCRI Rate</t>
  </si>
  <si>
    <t>FUEL RATE</t>
  </si>
  <si>
    <t>Uber</t>
  </si>
  <si>
    <t>Week1</t>
  </si>
  <si>
    <t>Week2</t>
  </si>
  <si>
    <t>PARTNER</t>
  </si>
  <si>
    <t>UNIT</t>
  </si>
  <si>
    <t xml:space="preserve"> Lift Lease Rate</t>
  </si>
  <si>
    <t xml:space="preserve">Lift Lease </t>
  </si>
  <si>
    <t>LIFT LEASE TOTAL</t>
  </si>
  <si>
    <t>Credentials</t>
  </si>
  <si>
    <t>Violation</t>
  </si>
  <si>
    <t>Other Income</t>
  </si>
  <si>
    <t>Bonus</t>
  </si>
  <si>
    <t>Reimbursement</t>
  </si>
  <si>
    <t>Tolls</t>
  </si>
  <si>
    <t>Camera Tickets</t>
  </si>
  <si>
    <t>Parking Tickets</t>
  </si>
  <si>
    <t>Other Deductions</t>
  </si>
  <si>
    <t>TYPE</t>
  </si>
  <si>
    <t>PartnerSort</t>
  </si>
  <si>
    <t>Total Violation</t>
  </si>
  <si>
    <t>AMY WALKER</t>
  </si>
  <si>
    <t>4409</t>
  </si>
  <si>
    <t>MODIVCARE</t>
  </si>
  <si>
    <t>BEYOND EXPRESS</t>
  </si>
  <si>
    <t>4574</t>
  </si>
  <si>
    <t>UBER WAV TRANSIT</t>
  </si>
  <si>
    <t>CIRCLE TRANSIT</t>
  </si>
  <si>
    <t>1012</t>
  </si>
  <si>
    <t>4575</t>
  </si>
  <si>
    <t>4576</t>
  </si>
  <si>
    <t>CASTLE TRANSIT LLC</t>
  </si>
  <si>
    <t>4578</t>
  </si>
  <si>
    <t>4422</t>
  </si>
  <si>
    <t>DEAN LOGISTICS SOLUTIONS LLC</t>
  </si>
  <si>
    <t>4579</t>
  </si>
  <si>
    <t>DIJUANS TRANSPORTATION LLC</t>
  </si>
  <si>
    <t>4376</t>
  </si>
  <si>
    <t>DIRECT TRANSIT LLC</t>
  </si>
  <si>
    <t>1001</t>
  </si>
  <si>
    <t>1009</t>
  </si>
  <si>
    <t>2701</t>
  </si>
  <si>
    <t>4382</t>
  </si>
  <si>
    <t>FULTON TRANSIT</t>
  </si>
  <si>
    <t>4428</t>
  </si>
  <si>
    <t>GET YOU THERE08</t>
  </si>
  <si>
    <t>4383</t>
  </si>
  <si>
    <t>JASEENAS TRANSPORTATION SERVIC</t>
  </si>
  <si>
    <t>JASTAR GORDON</t>
  </si>
  <si>
    <t>2556</t>
  </si>
  <si>
    <t>JERQWANA HUGHES</t>
  </si>
  <si>
    <t>ON TIME CONNECTION LLC</t>
  </si>
  <si>
    <t>4403</t>
  </si>
  <si>
    <t>PLEASANT HELP TRANSPORTATION</t>
  </si>
  <si>
    <t>4400</t>
  </si>
  <si>
    <t>Q-TELL TRANSIT LLC</t>
  </si>
  <si>
    <t>1010</t>
  </si>
  <si>
    <t>4404</t>
  </si>
  <si>
    <t>4426</t>
  </si>
  <si>
    <t>WHITEHEAD ENTERPRISES LLC</t>
  </si>
  <si>
    <t>4406</t>
  </si>
  <si>
    <t>REVENUE</t>
  </si>
  <si>
    <t xml:space="preserve"> DEDUCTIONS </t>
  </si>
  <si>
    <t>Earnings</t>
  </si>
  <si>
    <t xml:space="preserve">Other Earnings </t>
  </si>
  <si>
    <t>INVOICE PAY</t>
  </si>
  <si>
    <t>Operator</t>
  </si>
  <si>
    <t>File #</t>
  </si>
  <si>
    <t>Email</t>
  </si>
  <si>
    <t>Hourly</t>
  </si>
  <si>
    <t>Trip</t>
  </si>
  <si>
    <t>Fuel</t>
  </si>
  <si>
    <t>Misc</t>
  </si>
  <si>
    <t xml:space="preserve">Reimbursement </t>
  </si>
  <si>
    <t>Compliance</t>
  </si>
  <si>
    <t xml:space="preserve"> Lift Lease </t>
  </si>
  <si>
    <t>Other Deduction</t>
  </si>
  <si>
    <t xml:space="preserve"> Amount 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</si>
  <si>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</si>
  <si>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</si>
  <si>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</si>
  <si>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</si>
  <si>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</si>
  <si>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</si>
  <si>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</si>
  <si>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</si>
  <si>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</si>
  <si>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</si>
  <si>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Cash Collected</t>
  </si>
  <si>
    <t>Immediate/Advance</t>
  </si>
  <si>
    <t>Date</t>
  </si>
  <si>
    <t>MPG</t>
  </si>
  <si>
    <t>AAA</t>
  </si>
  <si>
    <t>Fuel Relief</t>
  </si>
  <si>
    <t>PAYOUT</t>
  </si>
  <si>
    <t>OTHER REVENUES</t>
  </si>
  <si>
    <t>DEDUCTIONS</t>
  </si>
  <si>
    <t>FIRST HOURLY EARNINGS</t>
  </si>
  <si>
    <t>TOTAL VIOLATION</t>
  </si>
  <si>
    <t>Bonuses</t>
  </si>
  <si>
    <t>FIRST</t>
  </si>
  <si>
    <t>Contract Hours Incentive</t>
  </si>
  <si>
    <t>Acceptance and Cancellation Incentive</t>
  </si>
  <si>
    <t>Other Earnings Misc</t>
  </si>
  <si>
    <t>WeekN</t>
  </si>
  <si>
    <t>Allowable Hours</t>
  </si>
  <si>
    <t>Online Hours</t>
  </si>
  <si>
    <t>Payable Normal Hours</t>
  </si>
  <si>
    <t>Payable Bonus Hours</t>
  </si>
  <si>
    <t>% of Hours to Forecast</t>
  </si>
  <si>
    <t>Normal Core Hours Rev</t>
  </si>
  <si>
    <t>Bonus Core Hours Rev</t>
  </si>
  <si>
    <t>20% of Base Rate</t>
  </si>
  <si>
    <t>10% of Base Rate</t>
  </si>
  <si>
    <t>5% of Base Rate</t>
  </si>
  <si>
    <t>Acceptance Rate</t>
  </si>
  <si>
    <t>Cancellation Rate</t>
  </si>
  <si>
    <t>Utilization%</t>
  </si>
  <si>
    <t>Utilization Rev</t>
  </si>
  <si>
    <t>Driver Tips</t>
  </si>
  <si>
    <t xml:space="preserve">Driver Earnings Excl </t>
  </si>
  <si>
    <t>Total Rev</t>
  </si>
  <si>
    <t>TOTAL OTHER REVENUES:</t>
  </si>
  <si>
    <t>Other Violations</t>
  </si>
  <si>
    <t>Total</t>
  </si>
  <si>
    <t>UBER TRIPS</t>
  </si>
  <si>
    <t>Lease Details</t>
  </si>
  <si>
    <t>Hourly Fuel Relief</t>
  </si>
  <si>
    <t>Week</t>
  </si>
  <si>
    <t>First_Name</t>
  </si>
  <si>
    <t>Last_Name</t>
  </si>
  <si>
    <t>Total Comp Trips</t>
  </si>
  <si>
    <t>Total Supply Hours</t>
  </si>
  <si>
    <t>Paused Hours</t>
  </si>
  <si>
    <t>Driver_Earnings_Excl_Tips</t>
  </si>
  <si>
    <t>Driver_Tips</t>
  </si>
  <si>
    <t>Lift Lease Unit</t>
  </si>
  <si>
    <t>Veh Number</t>
  </si>
  <si>
    <t>Miles</t>
  </si>
  <si>
    <t>Driver_UUID</t>
  </si>
  <si>
    <t>WAV Trips</t>
  </si>
  <si>
    <t>Non WAV Trips</t>
  </si>
  <si>
    <t>Utilized Hours</t>
  </si>
  <si>
    <t>Total_Expired_Offers</t>
  </si>
  <si>
    <t>Open Hours</t>
  </si>
  <si>
    <t>Core Hours_Total Supply Hours</t>
  </si>
  <si>
    <t>Core Hours_Utilized Hours</t>
  </si>
  <si>
    <t>Trips per Hour</t>
  </si>
  <si>
    <t>Total_Accepts</t>
  </si>
  <si>
    <t>Total_Rejects</t>
  </si>
  <si>
    <t>Total_Cancels</t>
  </si>
  <si>
    <t>Tier 1 ARDCRI</t>
  </si>
  <si>
    <t>Tier 2 ARDCRI</t>
  </si>
  <si>
    <t>Non KPI</t>
  </si>
  <si>
    <t>KPI Hours</t>
  </si>
  <si>
    <t>Operators Name</t>
  </si>
  <si>
    <t>PARTNER NAME</t>
  </si>
  <si>
    <t>ANTWAN LAMBERT JR</t>
  </si>
  <si>
    <t>ETHEL STEWART</t>
  </si>
  <si>
    <t>MARGARET KESSLER</t>
  </si>
  <si>
    <t>BRENDA LUMPKIN</t>
  </si>
  <si>
    <t>MICHAEL WESLEY</t>
  </si>
  <si>
    <t>BRIAN SMITH</t>
  </si>
  <si>
    <t>JOAN RODECK</t>
  </si>
  <si>
    <t>DENNIS JONES</t>
  </si>
  <si>
    <t>LAWRENCE MOORE</t>
  </si>
  <si>
    <t>QUINTELLA JOHNSON</t>
  </si>
  <si>
    <t>STERLING ROGERS</t>
  </si>
  <si>
    <t>DEANNA NOTTAGE</t>
  </si>
  <si>
    <t>KRYSTAL MCCHRISTIAN</t>
  </si>
  <si>
    <t>EDWARD JACKSON</t>
  </si>
  <si>
    <t>YAHSHIRA REINHARD</t>
  </si>
  <si>
    <t>SARAH REINHARD</t>
  </si>
  <si>
    <t>KIMBERLY CARROLL</t>
  </si>
  <si>
    <t>DENNIS JONES JR</t>
  </si>
  <si>
    <t>HENRY PINCKNEY</t>
  </si>
  <si>
    <t>KAHALI GRIFFIN</t>
  </si>
  <si>
    <t>DAVID RODGERS</t>
  </si>
  <si>
    <t>% of Hours to Required</t>
  </si>
  <si>
    <t>Core Hours Rev</t>
  </si>
  <si>
    <t>Bonus Hours Rev</t>
  </si>
  <si>
    <t>CHI Tier 1 Rev</t>
  </si>
  <si>
    <t>CHI Tier 2 Rev</t>
  </si>
  <si>
    <t>CHI Tier 3 Rev</t>
  </si>
  <si>
    <t>Tier 1 ARDCRI KPI Rev</t>
  </si>
  <si>
    <t>Tier 2 ARDCRI KPI Rev</t>
  </si>
  <si>
    <t>CHI Non-KPI</t>
  </si>
  <si>
    <t>Payable Online Hours</t>
  </si>
  <si>
    <t>Required</t>
  </si>
  <si>
    <t>CHI Rev</t>
  </si>
  <si>
    <t>Total Expired Offers</t>
  </si>
  <si>
    <t>Tier 1 ARDCRI KPI</t>
  </si>
  <si>
    <t>Tier 2 ARDCRI KPI</t>
  </si>
  <si>
    <t>Total ARDCRI KPI Rev</t>
  </si>
  <si>
    <t>Approved Extra Hours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</si>
  <si>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</si>
  <si>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</si>
  <si>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</si>
  <si>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</si>
  <si>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</si>
  <si>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</si>
  <si>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Fuel Rate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</si>
  <si>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</si>
  <si>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</si>
  <si>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</si>
  <si>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</si>
  <si>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</si>
  <si>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</si>
  <si>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</si>
  <si>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</si>
  <si>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</si>
  <si>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Utilization Incentive Rate</t>
  </si>
  <si>
    <t>Normal Hours</t>
  </si>
  <si>
    <t>ARDCRI Non KPI</t>
  </si>
  <si>
    <t>Driver Earnings Excl Tips</t>
  </si>
  <si>
    <t>OPERATOR NAME</t>
  </si>
  <si>
    <t>VDPMVReportOperatorCheck.Operators Name</t>
  </si>
  <si>
    <t>VDPMVReportOperatorCheck.PARTNER NAME</t>
  </si>
  <si>
    <t>CALLAHAN SHEEHAN</t>
  </si>
  <si>
    <t>ANTHONY PINCKNEY SR</t>
  </si>
  <si>
    <t>KENNETH HOUSTON</t>
  </si>
  <si>
    <t>OTHA COLLINS-MOORE</t>
  </si>
  <si>
    <t>ELVIN JONES</t>
  </si>
  <si>
    <t>NORMA LEWIS</t>
  </si>
  <si>
    <t>ISAIAH LEE</t>
  </si>
  <si>
    <t>KRESHAUNA DIXON</t>
  </si>
  <si>
    <t>TANYA CRAWFORD</t>
  </si>
  <si>
    <t>ANTONIETTE BLACKMON</t>
  </si>
  <si>
    <t>CHARLES BRYANT</t>
  </si>
  <si>
    <t>KEITH CAMPBELL</t>
  </si>
  <si>
    <t>MARLON FLEMING</t>
  </si>
  <si>
    <t>BOBBY HALL</t>
  </si>
  <si>
    <t>CLOR-ANN LANIGAN</t>
  </si>
  <si>
    <t>HORTENSE SUTTON</t>
  </si>
  <si>
    <t>LARRY TAYLOR</t>
  </si>
  <si>
    <t>GREGORY TURNER</t>
  </si>
  <si>
    <t>BANDU WENNIE</t>
  </si>
  <si>
    <t>BERNADINE SUTTON</t>
  </si>
  <si>
    <t>NORA BURRELL</t>
  </si>
  <si>
    <t>JAWUAN PITTMAN</t>
  </si>
  <si>
    <t>ROBIN MILLS</t>
  </si>
  <si>
    <t>PATRICK MCCLAIN</t>
  </si>
  <si>
    <t>PANTHEA REESE</t>
  </si>
  <si>
    <t>JAZZMIN FULTON</t>
  </si>
  <si>
    <t>KINA SHAW</t>
  </si>
  <si>
    <t>DIAMOND MOORE</t>
  </si>
  <si>
    <t>LANA AIKENS</t>
  </si>
  <si>
    <t>ZIZALEE LEGRE</t>
  </si>
  <si>
    <t>TRACY NOWLIN JR</t>
  </si>
  <si>
    <t>CHEYENNE WALLACE</t>
  </si>
  <si>
    <t>JERMEL BROWN</t>
  </si>
  <si>
    <t>STEVE LAWRENCE</t>
  </si>
  <si>
    <t>LISA BOONE</t>
  </si>
  <si>
    <t>OTHA COLLINS MOORE</t>
  </si>
  <si>
    <t>FILE #</t>
  </si>
  <si>
    <t>EMAIL</t>
  </si>
  <si>
    <t>CLIENT TYPE</t>
  </si>
  <si>
    <t>marlon@direct-transit.com</t>
  </si>
  <si>
    <t>FIRST, UBER WAV</t>
  </si>
  <si>
    <t>qtelltransit@gmail.com</t>
  </si>
  <si>
    <t>circletransit1@gmail.com</t>
  </si>
  <si>
    <t>jermel@bexconnect.com</t>
  </si>
  <si>
    <t>UBER WAV</t>
  </si>
  <si>
    <t>VEHICLE TYPE</t>
  </si>
  <si>
    <t>CLIENT TYPE - Copy</t>
  </si>
  <si>
    <t>WC, SEDAN</t>
  </si>
  <si>
    <t>SEDAN</t>
  </si>
  <si>
    <t>sedan</t>
  </si>
  <si>
    <t>StartDate</t>
  </si>
  <si>
    <t>EndDate</t>
  </si>
  <si>
    <t>Driver Name</t>
  </si>
  <si>
    <t>Folder</t>
  </si>
  <si>
    <t>Path</t>
  </si>
  <si>
    <t>VDP Folder</t>
  </si>
  <si>
    <t>Automation Folder</t>
  </si>
  <si>
    <t>SubFolder</t>
  </si>
  <si>
    <t>File</t>
  </si>
  <si>
    <t>FilePath</t>
  </si>
  <si>
    <t>Link</t>
  </si>
  <si>
    <t>RAW DATA\</t>
  </si>
  <si>
    <t>FilePath1</t>
  </si>
  <si>
    <t>FIRST REPORT\</t>
  </si>
  <si>
    <t>FilePath5</t>
  </si>
  <si>
    <t>Operator Deductions-Other Earnings.xlsx</t>
  </si>
  <si>
    <t>FilePath4</t>
  </si>
  <si>
    <t>DIV 2 Partner List.xlsx</t>
  </si>
  <si>
    <t>FilePath2</t>
  </si>
  <si>
    <t>DIV 2 Partner Rates.xlsx</t>
  </si>
  <si>
    <t>FilePath3</t>
  </si>
  <si>
    <t>DIV 2 Partner Change.xlsx</t>
  </si>
  <si>
    <t>FilePath6</t>
  </si>
  <si>
    <t>MPG per vehicle.xlsx</t>
  </si>
  <si>
    <t>FilePath7</t>
  </si>
  <si>
    <t>AAA Fuel Record.xlsx</t>
  </si>
  <si>
    <t>FilePath8</t>
  </si>
  <si>
    <t>Miles\</t>
  </si>
  <si>
    <t>FilePath9</t>
  </si>
  <si>
    <t>FilePath10</t>
  </si>
  <si>
    <t>UBER REPORT\</t>
  </si>
  <si>
    <t>BRENDA</t>
  </si>
  <si>
    <t>LUMPKIN</t>
  </si>
  <si>
    <t>Dennis</t>
  </si>
  <si>
    <t>Jones</t>
  </si>
  <si>
    <t>STERLING</t>
  </si>
  <si>
    <t>ROGERS</t>
  </si>
  <si>
    <t>Jones Jr</t>
  </si>
  <si>
    <t>HENRY</t>
  </si>
  <si>
    <t>PINCKNEY</t>
  </si>
  <si>
    <t>Ethel</t>
  </si>
  <si>
    <t>Stewart</t>
  </si>
  <si>
    <t>Sarah</t>
  </si>
  <si>
    <t>Reinhard</t>
  </si>
  <si>
    <t>Grand Total</t>
  </si>
  <si>
    <t>WALTER BURTON</t>
  </si>
  <si>
    <t>DIV2-IL</t>
  </si>
  <si>
    <t>Extra hours</t>
  </si>
  <si>
    <t>MICHAEL</t>
  </si>
  <si>
    <t>WESLEY</t>
  </si>
  <si>
    <t>8a53631f-e95d-497e-9f6b-94a59bf6f636</t>
  </si>
  <si>
    <t>KEITH</t>
  </si>
  <si>
    <t>CAMPBELL</t>
  </si>
  <si>
    <t>284b9ad4-43a7-4bc4-80f4-eed55e231392</t>
  </si>
  <si>
    <t>b06c3f82-32fd-4a9d-8c54-c7cfa213c376</t>
  </si>
  <si>
    <t>7a0ecf1f-5b18-42e6-a740-2a868b7052d0</t>
  </si>
  <si>
    <t>d1b3a90c-a07c-4a21-9f92-a312a5a2f56b</t>
  </si>
  <si>
    <t>BRIAN</t>
  </si>
  <si>
    <t>SMITH</t>
  </si>
  <si>
    <t>91a338b2-da4e-4086-ae08-c5bc0d720bb8</t>
  </si>
  <si>
    <t>f3d50d20-6656-4a9b-bd58-d99601e7189a</t>
  </si>
  <si>
    <t>Lawrence</t>
  </si>
  <si>
    <t>Moore</t>
  </si>
  <si>
    <t>b35f1770-90e0-40dd-b13a-6d24540e43db</t>
  </si>
  <si>
    <t>f40b3a6b-2d73-4777-bddb-fb9d8375184a</t>
  </si>
  <si>
    <t>DEANNA</t>
  </si>
  <si>
    <t>NOTTAGE</t>
  </si>
  <si>
    <t>dd405180-8e0c-46ff-87bc-75515e28b703</t>
  </si>
  <si>
    <t>edward</t>
  </si>
  <si>
    <t>jackson</t>
  </si>
  <si>
    <t>e97a4215-a663-48e7-9a1a-2873edaff975</t>
  </si>
  <si>
    <t>Kahali</t>
  </si>
  <si>
    <t>Griffin</t>
  </si>
  <si>
    <t>f9e35fd7-91ad-4d56-ab69-fa3ae91d609d</t>
  </si>
  <si>
    <t>2ae564bc-8728-4233-88f3-dc536e8d5ff2</t>
  </si>
  <si>
    <t>Quintella</t>
  </si>
  <si>
    <t>Johnson</t>
  </si>
  <si>
    <t>c367427f-36b8-425e-82bc-dd51606c8d26</t>
  </si>
  <si>
    <t>KIMBERLY</t>
  </si>
  <si>
    <t>CARROLL</t>
  </si>
  <si>
    <t>f05779d1-0ae6-4dd3-9f68-94766aab13ed</t>
  </si>
  <si>
    <t>David</t>
  </si>
  <si>
    <t>Rodgers</t>
  </si>
  <si>
    <t>febac3d6-acba-44ce-afd0-0ab4ec60b217</t>
  </si>
  <si>
    <t>ANTWAN</t>
  </si>
  <si>
    <t>LAMBERT JR</t>
  </si>
  <si>
    <t>1cf99add-e853-4b78-9d16-07a0a98a43fd</t>
  </si>
  <si>
    <t>eae086cc-8911-4063-9a13-f490618c484d</t>
  </si>
  <si>
    <t>WALTER</t>
  </si>
  <si>
    <t>BURTON</t>
  </si>
  <si>
    <t>35e88020-5a1f-4c0b-a669-3e15886fa4c3</t>
  </si>
  <si>
    <t>info@deanlogisticssolutions.com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</si>
</sst>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_);_(* \(#,##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indexed="8"/>
      <name val="Arial"/>
      <family val="2"/>
    </font>
    <font>
      <sz val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rgb="FFFF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6"/>
      <color theme="0"/>
      <name val="Cambria"/>
      <family val="1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10"/>
      <color rgb="FF000000"/>
      <name val="Times New Roman"/>
      <family val="1"/>
    </font>
    <font>
      <b/>
      <sz val="18"/>
      <color theme="0"/>
      <name val="Calibri"/>
      <family val="2"/>
    </font>
    <font>
      <sz val="12"/>
      <color indexed="8"/>
      <name val="Aptos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2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1" fillId="0" borderId="0"/>
    <xf numFmtId="0" fontId="4" fillId="0" borderId="0">
      <alignment vertical="top"/>
    </xf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0" fontId="18" fillId="0" borderId="0" applyNumberFormat="0" applyFill="0" applyBorder="0" applyAlignment="0" applyProtection="0"/>
    <xf numFmtId="44" fontId="19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19">
    <xf numFmtId="0" fontId="0" fillId="0" borderId="0" xfId="0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2" fontId="8" fillId="0" borderId="0" xfId="0" applyNumberFormat="1" applyFont="1" applyAlignment="1">
      <alignment horizontal="left" vertical="center"/>
    </xf>
    <xf numFmtId="8" fontId="9" fillId="0" borderId="0" xfId="0" applyNumberFormat="1" applyFont="1" applyAlignment="1">
      <alignment horizontal="right" vertical="center"/>
    </xf>
    <xf numFmtId="2" fontId="8" fillId="0" borderId="3" xfId="0" applyNumberFormat="1" applyFont="1" applyBorder="1" applyAlignment="1">
      <alignment horizontal="left" vertical="center"/>
    </xf>
    <xf numFmtId="8" fontId="9" fillId="0" borderId="3" xfId="0" applyNumberFormat="1" applyFont="1" applyBorder="1" applyAlignment="1">
      <alignment horizontal="right" vertical="center"/>
    </xf>
    <xf numFmtId="164" fontId="10" fillId="0" borderId="0" xfId="0" applyNumberFormat="1" applyFont="1" applyAlignment="1">
      <alignment horizontal="left" vertical="center"/>
    </xf>
    <xf numFmtId="20" fontId="2" fillId="0" borderId="0" xfId="0" applyNumberFormat="1" applyFont="1" applyAlignment="1">
      <alignment horizontal="left" vertical="center"/>
    </xf>
    <xf numFmtId="2" fontId="8" fillId="0" borderId="0" xfId="0" applyNumberFormat="1" applyFont="1" applyAlignment="1">
      <alignment horizontal="center"/>
    </xf>
    <xf numFmtId="14" fontId="6" fillId="4" borderId="7" xfId="0" applyNumberFormat="1" applyFont="1" applyFill="1" applyBorder="1" applyAlignment="1">
      <alignment horizontal="left" vertical="center" wrapText="1" readingOrder="1"/>
    </xf>
    <xf numFmtId="14" fontId="6" fillId="4" borderId="8" xfId="0" applyNumberFormat="1" applyFont="1" applyFill="1" applyBorder="1" applyAlignment="1">
      <alignment horizontal="center" vertical="center" wrapText="1" readingOrder="1"/>
    </xf>
    <xf numFmtId="0" fontId="6" fillId="4" borderId="8" xfId="0" applyFont="1" applyFill="1" applyBorder="1" applyAlignment="1">
      <alignment horizontal="center" vertical="center" wrapText="1" readingOrder="1"/>
    </xf>
    <xf numFmtId="1" fontId="6" fillId="4" borderId="8" xfId="0" applyNumberFormat="1" applyFont="1" applyFill="1" applyBorder="1" applyAlignment="1">
      <alignment horizontal="center" vertical="center" wrapText="1" readingOrder="1"/>
    </xf>
    <xf numFmtId="10" fontId="6" fillId="4" borderId="8" xfId="0" applyNumberFormat="1" applyFont="1" applyFill="1" applyBorder="1" applyAlignment="1">
      <alignment horizontal="center" vertical="center" wrapText="1" readingOrder="1"/>
    </xf>
    <xf numFmtId="164" fontId="6" fillId="4" borderId="9" xfId="0" applyNumberFormat="1" applyFont="1" applyFill="1" applyBorder="1" applyAlignment="1">
      <alignment horizontal="center" vertical="center" wrapText="1" readingOrder="1"/>
    </xf>
    <xf numFmtId="164" fontId="11" fillId="0" borderId="0" xfId="0" applyNumberFormat="1" applyFont="1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14" fontId="6" fillId="4" borderId="7" xfId="0" applyNumberFormat="1" applyFont="1" applyFill="1" applyBorder="1" applyAlignment="1">
      <alignment horizontal="center" vertical="center" wrapText="1" readingOrder="1"/>
    </xf>
    <xf numFmtId="14" fontId="2" fillId="3" borderId="2" xfId="0" applyNumberFormat="1" applyFont="1" applyFill="1" applyBorder="1" applyAlignment="1">
      <alignment horizontal="left" vertical="center"/>
    </xf>
    <xf numFmtId="2" fontId="2" fillId="3" borderId="2" xfId="0" applyNumberFormat="1" applyFont="1" applyFill="1" applyBorder="1" applyAlignment="1">
      <alignment horizontal="center" vertical="center"/>
    </xf>
    <xf numFmtId="164" fontId="2" fillId="3" borderId="2" xfId="0" applyNumberFormat="1" applyFont="1" applyFill="1" applyBorder="1" applyAlignment="1">
      <alignment horizontal="center" vertical="center"/>
    </xf>
    <xf numFmtId="1" fontId="13" fillId="6" borderId="10" xfId="0" applyNumberFormat="1" applyFont="1" applyFill="1" applyBorder="1" applyAlignment="1">
      <alignment horizontal="center" vertical="center"/>
    </xf>
    <xf numFmtId="164" fontId="13" fillId="6" borderId="1" xfId="0" applyNumberFormat="1" applyFont="1" applyFill="1" applyBorder="1" applyAlignment="1">
      <alignment horizontal="center" vertical="center"/>
    </xf>
    <xf numFmtId="0" fontId="16" fillId="0" borderId="0" xfId="7" applyFont="1" applyAlignment="1">
      <alignment horizontal="left"/>
    </xf>
    <xf numFmtId="0" fontId="16" fillId="0" borderId="0" xfId="7" applyFont="1"/>
    <xf numFmtId="0" fontId="15" fillId="0" borderId="0" xfId="7"/>
    <xf numFmtId="40" fontId="15" fillId="0" borderId="0" xfId="7" applyNumberFormat="1"/>
    <xf numFmtId="0" fontId="8" fillId="0" borderId="0" xfId="7" applyFont="1" applyAlignment="1">
      <alignment horizontal="center"/>
    </xf>
    <xf numFmtId="0" fontId="8" fillId="0" borderId="0" xfId="7" applyFont="1"/>
    <xf numFmtId="40" fontId="8" fillId="0" borderId="0" xfId="7" applyNumberFormat="1" applyFont="1" applyAlignment="1">
      <alignment horizontal="center"/>
    </xf>
    <xf numFmtId="0" fontId="8" fillId="0" borderId="11" xfId="7" applyFont="1" applyBorder="1" applyAlignment="1">
      <alignment horizontal="left"/>
    </xf>
    <xf numFmtId="0" fontId="8" fillId="0" borderId="11" xfId="7" applyFont="1" applyBorder="1" applyAlignment="1">
      <alignment horizontal="center"/>
    </xf>
    <xf numFmtId="40" fontId="8" fillId="0" borderId="11" xfId="7" applyNumberFormat="1" applyFont="1" applyBorder="1" applyAlignment="1">
      <alignment horizontal="center"/>
    </xf>
    <xf numFmtId="0" fontId="18" fillId="0" borderId="0" xfId="8" applyNumberFormat="1" applyAlignment="1" applyProtection="1">
      <alignment horizontal="left"/>
    </xf>
    <xf numFmtId="164" fontId="15" fillId="0" borderId="0" xfId="7" applyNumberFormat="1" applyAlignment="1">
      <alignment horizontal="center"/>
    </xf>
    <xf numFmtId="164" fontId="15" fillId="0" borderId="0" xfId="7" quotePrefix="1" applyNumberFormat="1" applyAlignment="1">
      <alignment horizontal="center"/>
    </xf>
    <xf numFmtId="164" fontId="15" fillId="0" borderId="0" xfId="6" applyNumberFormat="1" applyFont="1" applyAlignment="1" applyProtection="1">
      <alignment horizontal="center"/>
    </xf>
    <xf numFmtId="164" fontId="15" fillId="0" borderId="0" xfId="9" applyNumberFormat="1" applyFont="1" applyFill="1" applyAlignment="1" applyProtection="1">
      <alignment horizontal="center"/>
    </xf>
    <xf numFmtId="39" fontId="15" fillId="0" borderId="0" xfId="7" applyNumberFormat="1"/>
    <xf numFmtId="0" fontId="15" fillId="0" borderId="0" xfId="7" applyAlignment="1">
      <alignment horizontal="left"/>
    </xf>
    <xf numFmtId="164" fontId="8" fillId="2" borderId="0" xfId="7" applyNumberFormat="1" applyFont="1" applyFill="1" applyAlignment="1">
      <alignment horizontal="center"/>
    </xf>
    <xf numFmtId="164" fontId="16" fillId="10" borderId="0" xfId="7" applyNumberFormat="1" applyFont="1" applyFill="1" applyAlignment="1">
      <alignment horizontal="center"/>
    </xf>
    <xf numFmtId="14" fontId="0" fillId="0" borderId="0" xfId="0" applyNumberFormat="1" applyAlignment="1">
      <alignment vertical="center"/>
    </xf>
    <xf numFmtId="10" fontId="6" fillId="4" borderId="9" xfId="0" applyNumberFormat="1" applyFont="1" applyFill="1" applyBorder="1" applyAlignment="1">
      <alignment horizontal="center" vertical="center" wrapText="1" readingOrder="1"/>
    </xf>
    <xf numFmtId="164" fontId="8" fillId="0" borderId="13" xfId="0" applyNumberFormat="1" applyFont="1" applyBorder="1" applyAlignment="1">
      <alignment horizontal="left" vertical="center"/>
    </xf>
    <xf numFmtId="164" fontId="2" fillId="0" borderId="13" xfId="0" applyNumberFormat="1" applyFont="1" applyBorder="1" applyAlignment="1">
      <alignment horizontal="right" vertical="center"/>
    </xf>
    <xf numFmtId="0" fontId="15" fillId="0" borderId="0" xfId="7" applyAlignment="1">
      <alignment horizontal="center" vertical="center"/>
    </xf>
    <xf numFmtId="9" fontId="0" fillId="0" borderId="0" xfId="10" applyFont="1"/>
    <xf numFmtId="0" fontId="3" fillId="0" borderId="0" xfId="0" applyFont="1" applyAlignment="1">
      <alignment horizontal="center" vertical="center"/>
    </xf>
    <xf numFmtId="9" fontId="3" fillId="0" borderId="0" xfId="1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14" fontId="3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2" fontId="8" fillId="0" borderId="3" xfId="0" applyNumberFormat="1" applyFont="1" applyBorder="1" applyAlignment="1">
      <alignment horizontal="center" vertical="center" wrapText="1"/>
    </xf>
    <xf numFmtId="164" fontId="7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vertical="center"/>
    </xf>
    <xf numFmtId="164" fontId="6" fillId="4" borderId="8" xfId="0" applyNumberFormat="1" applyFont="1" applyFill="1" applyBorder="1" applyAlignment="1">
      <alignment horizontal="center" vertical="center" wrapText="1" readingOrder="1"/>
    </xf>
    <xf numFmtId="10" fontId="0" fillId="0" borderId="0" xfId="10" applyNumberFormat="1" applyFont="1" applyAlignment="1">
      <alignment vertical="center"/>
    </xf>
    <xf numFmtId="10" fontId="0" fillId="0" borderId="0" xfId="10" applyNumberFormat="1" applyFont="1" applyAlignment="1">
      <alignment horizontal="center" vertical="center"/>
    </xf>
    <xf numFmtId="2" fontId="0" fillId="0" borderId="0" xfId="10" applyNumberFormat="1" applyFont="1" applyAlignment="1">
      <alignment vertical="center"/>
    </xf>
    <xf numFmtId="2" fontId="0" fillId="0" borderId="0" xfId="10" applyNumberFormat="1" applyFont="1" applyAlignment="1">
      <alignment horizontal="center" vertical="center"/>
    </xf>
    <xf numFmtId="2" fontId="6" fillId="4" borderId="7" xfId="10" applyNumberFormat="1" applyFont="1" applyFill="1" applyBorder="1" applyAlignment="1">
      <alignment horizontal="center" vertical="center" wrapText="1" readingOrder="1"/>
    </xf>
    <xf numFmtId="2" fontId="6" fillId="4" borderId="7" xfId="0" applyNumberFormat="1" applyFont="1" applyFill="1" applyBorder="1" applyAlignment="1">
      <alignment horizontal="center" vertical="center" wrapText="1" readingOrder="1"/>
    </xf>
    <xf numFmtId="10" fontId="3" fillId="0" borderId="0" xfId="0" applyNumberFormat="1" applyFont="1" applyAlignment="1">
      <alignment horizontal="center" vertical="center"/>
    </xf>
    <xf numFmtId="10" fontId="0" fillId="0" borderId="0" xfId="10" applyNumberFormat="1" applyFont="1"/>
    <xf numFmtId="164" fontId="0" fillId="0" borderId="0" xfId="10" applyNumberFormat="1" applyFont="1" applyAlignment="1">
      <alignment horizontal="center" vertical="center"/>
    </xf>
    <xf numFmtId="164" fontId="2" fillId="0" borderId="0" xfId="0" applyNumberFormat="1" applyFont="1" applyAlignment="1">
      <alignment horizontal="right" vertical="center"/>
    </xf>
    <xf numFmtId="2" fontId="2" fillId="3" borderId="2" xfId="10" applyNumberFormat="1" applyFont="1" applyFill="1" applyBorder="1" applyAlignment="1">
      <alignment horizontal="center" vertical="center"/>
    </xf>
    <xf numFmtId="164" fontId="6" fillId="4" borderId="7" xfId="0" applyNumberFormat="1" applyFont="1" applyFill="1" applyBorder="1" applyAlignment="1">
      <alignment horizontal="center" vertical="center" wrapText="1" readingOrder="1"/>
    </xf>
    <xf numFmtId="14" fontId="6" fillId="4" borderId="17" xfId="0" applyNumberFormat="1" applyFont="1" applyFill="1" applyBorder="1" applyAlignment="1">
      <alignment horizontal="left" vertical="center" wrapText="1" readingOrder="1"/>
    </xf>
    <xf numFmtId="14" fontId="6" fillId="4" borderId="18" xfId="0" applyNumberFormat="1" applyFont="1" applyFill="1" applyBorder="1" applyAlignment="1">
      <alignment horizontal="center" vertical="center" wrapText="1" readingOrder="1"/>
    </xf>
    <xf numFmtId="0" fontId="6" fillId="4" borderId="18" xfId="0" applyFont="1" applyFill="1" applyBorder="1" applyAlignment="1">
      <alignment horizontal="center" vertical="center" wrapText="1" readingOrder="1"/>
    </xf>
    <xf numFmtId="10" fontId="6" fillId="4" borderId="18" xfId="10" applyNumberFormat="1" applyFont="1" applyFill="1" applyBorder="1" applyAlignment="1">
      <alignment horizontal="center" vertical="center" wrapText="1" readingOrder="1"/>
    </xf>
    <xf numFmtId="1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8" xfId="0" applyNumberFormat="1" applyFont="1" applyFill="1" applyBorder="1" applyAlignment="1">
      <alignment horizontal="center" vertical="center" wrapText="1" readingOrder="1"/>
    </xf>
    <xf numFmtId="2" fontId="6" fillId="4" borderId="19" xfId="0" applyNumberFormat="1" applyFont="1" applyFill="1" applyBorder="1" applyAlignment="1">
      <alignment horizontal="center" vertical="center" wrapText="1" readingOrder="1"/>
    </xf>
    <xf numFmtId="14" fontId="6" fillId="4" borderId="9" xfId="0" applyNumberFormat="1" applyFont="1" applyFill="1" applyBorder="1" applyAlignment="1">
      <alignment horizontal="center" vertical="center" wrapText="1" readingOrder="1"/>
    </xf>
    <xf numFmtId="164" fontId="2" fillId="3" borderId="2" xfId="10" applyNumberFormat="1" applyFon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2" fillId="3" borderId="2" xfId="0" applyNumberFormat="1" applyFont="1" applyFill="1" applyBorder="1" applyAlignment="1">
      <alignment horizontal="center" vertical="center"/>
    </xf>
    <xf numFmtId="164" fontId="15" fillId="0" borderId="0" xfId="7" applyNumberFormat="1"/>
    <xf numFmtId="2" fontId="0" fillId="0" borderId="0" xfId="0" applyNumberFormat="1" applyAlignment="1">
      <alignment vertical="center"/>
    </xf>
    <xf numFmtId="14" fontId="6" fillId="4" borderId="17" xfId="0" applyNumberFormat="1" applyFont="1" applyFill="1" applyBorder="1" applyAlignment="1">
      <alignment horizontal="center" vertical="center" wrapText="1" readingOrder="1"/>
    </xf>
    <xf numFmtId="0" fontId="21" fillId="0" borderId="0" xfId="7" applyFont="1"/>
    <xf numFmtId="0" fontId="17" fillId="0" borderId="0" xfId="7" applyFont="1"/>
    <xf numFmtId="7" fontId="0" fillId="0" borderId="0" xfId="0" applyNumberFormat="1" applyAlignment="1">
      <alignment vertical="center"/>
    </xf>
    <xf numFmtId="2" fontId="8" fillId="0" borderId="3" xfId="0" applyNumberFormat="1" applyFont="1" applyBorder="1" applyAlignment="1">
      <alignment horizontal="center" wrapText="1"/>
    </xf>
    <xf numFmtId="0" fontId="0" fillId="0" borderId="0" xfId="0" pivotButton="1"/>
    <xf numFmtId="165" fontId="0" fillId="0" borderId="0" xfId="11" applyNumberFormat="1" applyFont="1"/>
    <xf numFmtId="165" fontId="0" fillId="11" borderId="0" xfId="11" applyNumberFormat="1" applyFont="1" applyFill="1"/>
    <xf numFmtId="165" fontId="0" fillId="11" borderId="0" xfId="11" applyNumberFormat="1" applyFont="1" applyFill="1" applyAlignment="1">
      <alignment horizontal="center"/>
    </xf>
    <xf numFmtId="0" fontId="17" fillId="7" borderId="0" xfId="7" applyFont="1" applyFill="1" applyAlignment="1">
      <alignment horizontal="center"/>
    </xf>
    <xf numFmtId="0" fontId="17" fillId="8" borderId="0" xfId="7" applyFont="1" applyFill="1" applyAlignment="1">
      <alignment horizontal="center"/>
    </xf>
    <xf numFmtId="0" fontId="20" fillId="9" borderId="12" xfId="7" applyFont="1" applyFill="1" applyBorder="1" applyAlignment="1">
      <alignment horizontal="center"/>
    </xf>
    <xf numFmtId="0" fontId="8" fillId="0" borderId="0" xfId="7" applyFont="1" applyAlignment="1">
      <alignment horizontal="center"/>
    </xf>
    <xf numFmtId="0" fontId="14" fillId="5" borderId="0" xfId="0" applyFont="1" applyFill="1" applyAlignment="1">
      <alignment horizontal="left" vertical="center"/>
    </xf>
    <xf numFmtId="2" fontId="2" fillId="4" borderId="14" xfId="0" applyNumberFormat="1" applyFont="1" applyFill="1" applyBorder="1" applyAlignment="1">
      <alignment horizontal="center" vertical="center"/>
    </xf>
    <xf numFmtId="2" fontId="2" fillId="4" borderId="15" xfId="0" applyNumberFormat="1" applyFont="1" applyFill="1" applyBorder="1" applyAlignment="1">
      <alignment horizontal="center" vertical="center"/>
    </xf>
    <xf numFmtId="2" fontId="2" fillId="4" borderId="16" xfId="0" applyNumberFormat="1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6" xfId="0" applyFont="1" applyFill="1" applyBorder="1" applyAlignment="1">
      <alignment horizontal="center" vertical="center"/>
    </xf>
    <xf numFmtId="0" fontId="12" fillId="6" borderId="20" xfId="0" applyFont="1" applyFill="1" applyBorder="1" applyAlignment="1">
      <alignment horizontal="center" vertical="center"/>
    </xf>
    <xf numFmtId="0" fontId="12" fillId="6" borderId="2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/>
    </xf>
    <xf numFmtId="0" fontId="12" fillId="6" borderId="4" xfId="0" applyFont="1" applyFill="1" applyBorder="1" applyAlignment="1">
      <alignment horizontal="center" vertical="center"/>
    </xf>
    <xf numFmtId="0" fontId="12" fillId="6" borderId="5" xfId="0" applyFont="1" applyFill="1" applyBorder="1" applyAlignment="1">
      <alignment horizontal="center" vertical="center"/>
    </xf>
    <xf numFmtId="0" fontId="12" fillId="6" borderId="6" xfId="0" applyFont="1" applyFill="1" applyBorder="1" applyAlignment="1">
      <alignment horizontal="center" vertical="center"/>
    </xf>
    <xf numFmtId="2" fontId="8" fillId="0" borderId="3" xfId="0" applyNumberFormat="1" applyFont="1" applyBorder="1" applyAlignment="1">
      <alignment horizontal="center" wrapText="1"/>
    </xf>
  </cellXfs>
  <cellStyles count="12">
    <cellStyle name="Comma" xfId="11" builtinId="3"/>
    <cellStyle name="Comma 2" xfId="5" xr:uid="{3559B287-E789-4CB0-8574-9593D23E53AE}"/>
    <cellStyle name="Comma 25 2" xfId="4" xr:uid="{2A3413DC-9BED-4060-BEFB-31D0B2DB0C28}"/>
    <cellStyle name="Currency" xfId="6" builtinId="4"/>
    <cellStyle name="Currency 2" xfId="9" xr:uid="{3EFF3BA5-37C0-45C8-A251-95C2DBAF4DEF}"/>
    <cellStyle name="Currency 3" xfId="3" xr:uid="{204464A3-9703-414F-A7A7-90E6AA65D0DF}"/>
    <cellStyle name="Hyperlink" xfId="8" builtinId="8"/>
    <cellStyle name="Normal" xfId="0" builtinId="0"/>
    <cellStyle name="Normal 12 2" xfId="1" xr:uid="{C0D3E8DA-3BC0-4B61-BF9A-BB62D117F665}"/>
    <cellStyle name="Normal 16" xfId="2" xr:uid="{1920C607-FB32-4A2A-9FAF-43E2B902A395}"/>
    <cellStyle name="Normal 2 2" xfId="7" xr:uid="{FCDCD1AD-8126-46FC-8FE0-2552DDFF61AD}"/>
    <cellStyle name="Percent" xfId="10" builtinId="5"/>
  </cellStyles>
  <dxfs count="33"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4" formatCode="0.00%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4" formatCode="0.0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</dxfs>
  <tableStyles count="1" defaultTableStyle="TableStyleMedium2" defaultPivotStyle="PivotStyleLight16">
    <tableStyle name="Invisible" pivot="0" table="0" count="0" xr9:uid="{5FEA7D25-6AA8-41A9-B0EF-C4477CB4888D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5BFAE350-16C2-4C2F-B059-34B35A710004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0</xdr:row>
      <xdr:rowOff>165100</xdr:rowOff>
    </xdr:from>
    <xdr:to>
      <xdr:col>2</xdr:col>
      <xdr:colOff>1947334</xdr:colOff>
      <xdr:row>2</xdr:row>
      <xdr:rowOff>38100</xdr:rowOff>
    </xdr:to>
    <xdr:sp macro="[0]!Div2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B4F651-F2DB-456B-9D2A-21D11A1BC1A0}"/>
            </a:ext>
          </a:extLst>
        </xdr:cNvPr>
        <xdr:cNvSpPr/>
      </xdr:nvSpPr>
      <xdr:spPr>
        <a:xfrm>
          <a:off x="2499360" y="165100"/>
          <a:ext cx="1756834" cy="29972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57150</xdr:colOff>
      <xdr:row>0</xdr:row>
      <xdr:rowOff>66675</xdr:rowOff>
    </xdr:from>
    <xdr:to>
      <xdr:col>13</xdr:col>
      <xdr:colOff>600075</xdr:colOff>
      <xdr:row>2</xdr:row>
      <xdr:rowOff>66675</xdr:rowOff>
    </xdr:to>
    <xdr:sp macro="[0]!Div6CopyAndSendEmailOtherOption" textlink="">
      <xdr:nvSpPr>
        <xdr:cNvPr id="564" name="Rectangle: Rounded Corners 563">
          <a:extLst>
            <a:ext uri="{FF2B5EF4-FFF2-40B4-BE49-F238E27FC236}">
              <a16:creationId xmlns:a16="http://schemas.microsoft.com/office/drawing/2014/main" id="{DCA81FF8-E313-4199-9D56-5DDEEDDB6AF6}"/>
            </a:ext>
          </a:extLst>
        </xdr:cNvPr>
        <xdr:cNvSpPr/>
      </xdr:nvSpPr>
      <xdr:spPr>
        <a:xfrm>
          <a:off x="9582150" y="66675"/>
          <a:ext cx="2438400" cy="38100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 VDP Statement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3%20A%20CORP%20INVOICING\9%20AZ\AUTOMATIONS\VDP%20AUTOMATION\VDP_DIV9%20AUTOMATION.xlsm" TargetMode="External"/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elar\Big%20Star%20Transit%20LLC%20Dropbox\Big%20Star%20Transit%20LLC%20Team%20Folder\A%20ACCOUNTING\2024%20A%20CORP%20INVOICING\10%20OR\AUTOMATION\VDP%20AUTOMATION\VDP-DIV10%20AUTOMATION%20-%20New.xlsm" TargetMode="External"/><Relationship Id="rId1" Type="http://schemas.openxmlformats.org/officeDocument/2006/relationships/externalLinkPath" Target="/Users/belar/Big%20Star%20Transit%20LLC%20Dropbox/Big%20Star%20Transit%20LLC%20Team%20Folder/A%20ACCOUNTING/2024%20A%20CORP%20INVOICING/10%20OR/AUTOMATION/VDP%20AUTOMATION/VDP-DIV10%20AUTOMATION%20-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ignBonus"/>
      <sheetName val="SEND VDP Statement"/>
      <sheetName val="Pay Period"/>
      <sheetName val="PR"/>
      <sheetName val="Review"/>
      <sheetName val="Div10PartnerListUber"/>
      <sheetName val="PRExportPrep"/>
      <sheetName val="SumUberReport"/>
      <sheetName val="UberReport"/>
      <sheetName val="NewSheet"/>
      <sheetName val="JasperReport"/>
      <sheetName val="TrapezeReport"/>
      <sheetName val="Deductions"/>
      <sheetName val="Div10PartnerDetails"/>
      <sheetName val="DIV10PartnerList"/>
      <sheetName val="DropDown"/>
      <sheetName val="Check &amp; Balances"/>
      <sheetName val="ExPre"/>
      <sheetName val="TrapezeReportChecks"/>
      <sheetName val="TollsChecks"/>
      <sheetName val="FilePath"/>
      <sheetName val="CoastTransactions"/>
      <sheetName val="CoastTransactionsChecks"/>
      <sheetName val="TrapezeFuel"/>
      <sheetName val="BLANK WORKSHEET"/>
      <sheetName val="Bastien, R"/>
      <sheetName val="Battle, T"/>
      <sheetName val="Golden Pothos"/>
      <sheetName val="LeLe Trans"/>
      <sheetName val="McKinley, J"/>
      <sheetName val="Orion"/>
      <sheetName val="Qawee, Y"/>
      <sheetName val="SR Truck"/>
      <sheetName val="BLANK1 CATA"/>
      <sheetName val="BLANK2 CATA"/>
      <sheetName val="VDP-DIV10 AUTOMATION - New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0163287037" createdVersion="8" refreshedVersion="8" minRefreshableVersion="3" recordCount="10" xr:uid="{492C9D3A-18D3-4A6B-BF79-3EBAF47C3470}">
  <cacheSource type="worksheet">
    <worksheetSource name="SumVDPMVReport"/>
  </cacheSource>
  <cacheFields count="62">
    <cacheField name="WeekN" numFmtId="0">
      <sharedItems containsBlank="1" count="3">
        <s v="Week1"/>
        <s v="Week2"/>
        <m u="1"/>
      </sharedItems>
    </cacheField>
    <cacheField name="Allowable Hours" numFmtId="0">
      <sharedItems containsSemiMixedTypes="0" containsString="0" containsNumber="1" containsInteger="1" minValue="50" maxValue="220"/>
    </cacheField>
    <cacheField name="Online Hours" numFmtId="0">
      <sharedItems containsSemiMixedTypes="0" containsString="0" containsNumber="1" minValue="23.63" maxValue="222.6" count="31">
        <n v="23.63"/>
        <n v="209.74"/>
        <n v="190.32"/>
        <n v="50.22"/>
        <n v="83.74"/>
        <n v="24.35"/>
        <n v="221.13"/>
        <n v="205.48"/>
        <n v="26.38"/>
        <n v="106.97"/>
        <n v="50.03" u="1"/>
        <n v="211.94000000000003" u="1"/>
        <n v="176.70999999999998" u="1"/>
        <n v="45.440000000000005" u="1"/>
        <n v="96.74" u="1"/>
        <n v="40.159999999999997" u="1"/>
        <n v="222.6" u="1"/>
        <n v="210.14000000000001" u="1"/>
        <n v="30.709999999999997" u="1"/>
        <n v="55.01" u="1"/>
        <n v="50.79" u="1"/>
        <n v="57" u="1"/>
        <n v="201.66" u="1"/>
        <n v="216.95" u="1"/>
        <n v="47.35" u="1"/>
        <n v="78.650000000000006" u="1"/>
        <n v="50.32" u="1"/>
        <n v="184.95" u="1"/>
        <n v="216.85999999999999" u="1"/>
        <n v="26.37" u="1"/>
        <n v="88.03" u="1"/>
      </sharedItems>
    </cacheField>
    <cacheField name="Payable Normal Hours" numFmtId="0">
      <sharedItems containsSemiMixedTypes="0" containsString="0" containsNumber="1" minValue="23.63" maxValue="140" count="16">
        <n v="23.63"/>
        <n v="140"/>
        <n v="50.22"/>
        <n v="70"/>
        <n v="24.35"/>
        <n v="26.38"/>
        <n v="50" u="1"/>
        <n v="45.440000000000005" u="1"/>
        <n v="40.159999999999997" u="1"/>
        <n v="30.709999999999997" u="1"/>
        <n v="55.01" u="1"/>
        <n v="50.03" u="1"/>
        <n v="50.79" u="1"/>
        <n v="57" u="1"/>
        <n v="47.35" u="1"/>
        <n v="26.37" u="1"/>
      </sharedItems>
    </cacheField>
    <cacheField name="Payable Bonus Hours" numFmtId="0">
      <sharedItems containsSemiMixedTypes="0" containsString="0" containsNumber="1" minValue="0" maxValue="80" count="22">
        <n v="0"/>
        <n v="69.740000000000009"/>
        <n v="50.319999999999993"/>
        <n v="13.739999999999995"/>
        <n v="80"/>
        <n v="65.47999999999999"/>
        <n v="36.97"/>
        <n v="30" u="1"/>
        <n v="40" u="1"/>
        <n v="71.940000000000026" u="1"/>
        <n v="36.70999999999998" u="1"/>
        <n v="26.739999999999995" u="1"/>
        <n v="70" u="1"/>
        <n v="20" u="1"/>
        <n v="10" u="1"/>
        <n v="50" u="1"/>
        <n v="61" u="1"/>
        <n v="76.949999999999989" u="1"/>
        <n v="8.6500000000000057" u="1"/>
        <n v="44.949999999999989" u="1"/>
        <n v="76.859999999999985" u="1"/>
        <n v="18.03" u="1"/>
      </sharedItems>
    </cacheField>
    <cacheField name="% of Hours to Required" numFmtId="0">
      <sharedItems containsSemiMixedTypes="0" containsString="0" containsNumber="1" minValue="0.43966666666666698" maxValue="1"/>
    </cacheField>
    <cacheField name="Core Hours Rev" numFmtId="0">
      <sharedItems containsSemiMixedTypes="0" containsString="0" containsNumber="1" minValue="0" maxValue="2866.5"/>
    </cacheField>
    <cacheField name="Bonus Hours Rev" numFmtId="0">
      <sharedItems containsSemiMixedTypes="0" containsString="0" containsNumber="1" minValue="0" maxValue="2132"/>
    </cacheField>
    <cacheField name="CHI Tier 1 Rev" numFmtId="0">
      <sharedItems containsSemiMixedTypes="0" containsString="0" containsNumber="1" minValue="0" maxValue="1538.0000000000002"/>
    </cacheField>
    <cacheField name="CHI Tier 2 Rev" numFmtId="0">
      <sharedItems containsSemiMixedTypes="0" containsString="0" containsNumber="1" containsInteger="1" minValue="0" maxValue="0"/>
    </cacheField>
    <cacheField name="CHI Tier 3 Rev" numFmtId="0">
      <sharedItems containsSemiMixedTypes="0" containsString="0" containsNumber="1" containsInteger="1" minValue="0" maxValue="0"/>
    </cacheField>
    <cacheField name="Acceptance Rate" numFmtId="0">
      <sharedItems containsSemiMixedTypes="0" containsString="0" containsNumber="1" minValue="0.85465116279069797" maxValue="1"/>
    </cacheField>
    <cacheField name="Cancellation Rate" numFmtId="0">
      <sharedItems containsSemiMixedTypes="0" containsString="0" containsNumber="1" minValue="0" maxValue="3.5799522673030999E-2"/>
    </cacheField>
    <cacheField name="Tier 1 ARDCRI KPI Rev" numFmtId="0">
      <sharedItems containsSemiMixedTypes="0" containsString="0" containsNumber="1" minValue="0" maxValue="769"/>
    </cacheField>
    <cacheField name="Tier 2 ARDCRI KPI Rev" numFmtId="0">
      <sharedItems containsSemiMixedTypes="0" containsString="0" containsNumber="1" minValue="0" maxValue="186.60290000000001"/>
    </cacheField>
    <cacheField name="Utilization%" numFmtId="0">
      <sharedItems containsSemiMixedTypes="0" containsString="0" containsNumber="1" minValue="0.69506625062180605" maxValue="0.96741430385103699"/>
    </cacheField>
    <cacheField name="Utilization Rev" numFmtId="0">
      <sharedItems containsSemiMixedTypes="0" containsString="0" containsNumber="1" minValue="0" maxValue="363.46699999999998"/>
    </cacheField>
    <cacheField name="Driver Tips" numFmtId="0">
      <sharedItems containsSemiMixedTypes="0" containsString="0" containsNumber="1" minValue="9" maxValue="152.75"/>
    </cacheField>
    <cacheField name="Tolls" numFmtId="0">
      <sharedItems containsSemiMixedTypes="0" containsString="0" containsNumber="1" containsInteger="1" minValue="0" maxValue="0"/>
    </cacheField>
    <cacheField name="CHI Non-KPI" numFmtId="0">
      <sharedItems containsSemiMixedTypes="0" containsString="0" containsNumber="1" minValue="0" maxValue="1217.8499999999999"/>
    </cacheField>
    <cacheField name="Total Rev" numFmtId="0">
      <sharedItems containsSemiMixedTypes="0" containsString="0" containsNumber="1" minValue="566.66" maxValue="7434.53"/>
    </cacheField>
    <cacheField name="Payable Online Hours" numFmtId="0">
      <sharedItems containsSemiMixedTypes="0" containsString="0" containsNumber="1" minValue="23.63" maxValue="220"/>
    </cacheField>
    <cacheField name="Required" numFmtId="0">
      <sharedItems containsSemiMixedTypes="0" containsString="0" containsNumber="1" containsInteger="1" minValue="50" maxValue="220"/>
    </cacheField>
    <cacheField name="CHI Rev" numFmtId="0">
      <sharedItems containsSemiMixedTypes="0" containsString="0" containsNumber="1" minValue="0" maxValue="1538"/>
    </cacheField>
    <cacheField name="Total Expired Offers" numFmtId="0">
      <sharedItems containsSemiMixedTypes="0" containsString="0" containsNumber="1" containsInteger="1" minValue="0" maxValue="16"/>
    </cacheField>
    <cacheField name="Tier 1 ARDCRI KPI" numFmtId="0">
      <sharedItems containsSemiMixedTypes="0" containsString="0" containsNumber="1" minValue="0" maxValue="220"/>
    </cacheField>
    <cacheField name="Tier 2 ARDCRI KPI" numFmtId="0">
      <sharedItems containsSemiMixedTypes="0" containsString="0" containsNumber="1" minValue="0" maxValue="106.97"/>
    </cacheField>
    <cacheField name="Total ARDCRI KPI Rev" numFmtId="0">
      <sharedItems containsSemiMixedTypes="0" containsString="0" containsNumber="1" minValue="0" maxValue="769"/>
    </cacheField>
    <cacheField name="Approved Extra Hours" numFmtId="0">
      <sharedItems containsSemiMixedTypes="0" containsString="0" containsNumber="1" containsInteger="1" minValue="0" maxValue="11"/>
    </cacheField>
    <cacheField name="Week" numFmtId="14">
      <sharedItems containsSemiMixedTypes="0" containsNonDate="0" containsDate="1" containsString="0" minDate="2024-12-16T00:00:00" maxDate="2024-12-24T00:00:00"/>
    </cacheField>
    <cacheField name="PARTNER NAME" numFmtId="0">
      <sharedItems containsBlank="1" count="6">
        <s v="BEYOND EXPRESS"/>
        <s v="DIRECT TRANSIT LLC"/>
        <s v="CIRCLE TRANSIT"/>
        <s v="DEAN LOGISTICS SOLUTIONS LLC"/>
        <s v="Q-TELL TRANSIT LLC"/>
        <m u="1"/>
      </sharedItems>
    </cacheField>
    <cacheField name="Total Comp Trips" numFmtId="0">
      <sharedItems containsSemiMixedTypes="0" containsString="0" containsNumber="1" containsInteger="1" minValue="51" maxValue="383"/>
    </cacheField>
    <cacheField name="Total Supply Hours" numFmtId="0">
      <sharedItems containsSemiMixedTypes="0" containsString="0" containsNumber="1" minValue="23.63" maxValue="221.25"/>
    </cacheField>
    <cacheField name="Paused Hours" numFmtId="0">
      <sharedItems containsSemiMixedTypes="0" containsString="0" containsNumber="1" minValue="0" maxValue="5.03"/>
    </cacheField>
    <cacheField name="WAV Trips" numFmtId="0">
      <sharedItems containsSemiMixedTypes="0" containsString="0" containsNumber="1" containsInteger="1" minValue="0" maxValue="42"/>
    </cacheField>
    <cacheField name="Non WAV Trips" numFmtId="0">
      <sharedItems containsSemiMixedTypes="0" containsString="0" containsNumber="1" containsInteger="1" minValue="51" maxValue="342"/>
    </cacheField>
    <cacheField name="Utilized Hours" numFmtId="0">
      <sharedItems containsSemiMixedTypes="0" containsString="0" containsNumber="1" minValue="22.59" maxValue="171.85"/>
    </cacheField>
    <cacheField name="Open Hours" numFmtId="0">
      <sharedItems containsSemiMixedTypes="0" containsString="0" containsNumber="1" minValue="0.77" maxValue="67.42"/>
    </cacheField>
    <cacheField name="Core Total Supply Hours" numFmtId="0">
      <sharedItems containsSemiMixedTypes="0" containsString="0" containsNumber="1" minValue="0" maxValue="85.1"/>
    </cacheField>
    <cacheField name="Core Utilized Hours" numFmtId="0">
      <sharedItems containsSemiMixedTypes="0" containsString="0" containsNumber="1" minValue="0" maxValue="71.489999999999995"/>
    </cacheField>
    <cacheField name="Trips Per Hours" numFmtId="0">
      <sharedItems containsSemiMixedTypes="0" containsString="0" containsNumber="1" minValue="2.16" maxValue="12.6"/>
    </cacheField>
    <cacheField name="Total Accepts" numFmtId="0">
      <sharedItems containsSemiMixedTypes="0" containsString="0" containsNumber="1" containsInteger="1" minValue="64" maxValue="451"/>
    </cacheField>
    <cacheField name="Total Rejects" numFmtId="0">
      <sharedItems containsSemiMixedTypes="0" containsString="0" containsNumber="1" containsInteger="1" minValue="0" maxValue="14"/>
    </cacheField>
    <cacheField name="Total Cancels" numFmtId="0">
      <sharedItems containsSemiMixedTypes="0" containsString="0" containsNumber="1" containsInteger="1" minValue="0" maxValue="16"/>
    </cacheField>
    <cacheField name="KPI Hours" numFmtId="0">
      <sharedItems containsSemiMixedTypes="0" containsString="0" containsNumber="1" minValue="0" maxValue="190.96"/>
    </cacheField>
    <cacheField name="Fuel Rate" numFmtId="0">
      <sharedItems containsNonDate="0" containsString="0" containsBlank="1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minValue="0.7" maxValue="0.7"/>
    </cacheField>
    <cacheField name="Rate" numFmtId="0">
      <sharedItems containsSemiMixedTypes="0" containsString="0" containsNumber="1" minValue="31.45" maxValue="31.5"/>
    </cacheField>
    <cacheField name="Bonus Rate" numFmtId="0">
      <sharedItems containsSemiMixedTypes="0" containsString="0" containsNumber="1" minValue="41" maxValue="41.4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4" maxValue="0.94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70" maxValue="140"/>
    </cacheField>
    <cacheField name="ARDCRI Non KPI" numFmtId="0">
      <sharedItems containsSemiMixedTypes="0" containsString="0" containsNumber="1" minValue="0" maxValue="83.74"/>
    </cacheField>
    <cacheField name="Driver Earnings Excl Tips" numFmtId="0">
      <sharedItems containsSemiMixedTypes="0" containsString="0" containsNumber="1" minValue="515.36" maxValue="4203.92999999999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50"/>
    <x v="0"/>
    <x v="0"/>
    <x v="0"/>
    <n v="0.47260000000000002"/>
    <n v="0"/>
    <n v="0"/>
    <n v="0"/>
    <n v="0"/>
    <n v="0"/>
    <n v="1"/>
    <n v="3.125E-2"/>
    <n v="0"/>
    <n v="0"/>
    <n v="0.96741430385103699"/>
    <n v="0"/>
    <n v="9"/>
    <n v="0"/>
    <n v="557.66"/>
    <n v="566.66"/>
    <n v="23.63"/>
    <n v="50"/>
    <n v="0"/>
    <n v="0"/>
    <n v="23.63"/>
    <n v="0"/>
    <n v="0"/>
    <n v="0"/>
    <d v="2024-12-16T00:00:00"/>
    <x v="0"/>
    <n v="51"/>
    <n v="23.63"/>
    <n v="0"/>
    <n v="0"/>
    <n v="51"/>
    <n v="22.86"/>
    <n v="0.77"/>
    <n v="12.02"/>
    <n v="11.58"/>
    <n v="2.16"/>
    <n v="64"/>
    <n v="0"/>
    <n v="2"/>
    <n v="23.63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557.66"/>
  </r>
  <r>
    <x v="0"/>
    <n v="210"/>
    <x v="1"/>
    <x v="1"/>
    <x v="1"/>
    <n v="0.99876190476190496"/>
    <n v="2866.5"/>
    <n v="1858.5709999999999"/>
    <n v="1453.8680000000004"/>
    <n v="0"/>
    <n v="0"/>
    <n v="0.977653631284916"/>
    <n v="5.7142857142857099E-3"/>
    <n v="726.93399999999997"/>
    <n v="0"/>
    <n v="0.79121769810241205"/>
    <n v="363.46699999999998"/>
    <n v="139.47999999999999"/>
    <n v="0"/>
    <n v="0"/>
    <n v="7408.82"/>
    <n v="209.74"/>
    <n v="210"/>
    <n v="1453.8679999999999"/>
    <n v="2"/>
    <n v="209.74"/>
    <n v="0"/>
    <n v="726.93399999999997"/>
    <n v="0"/>
    <d v="2024-12-16T00:00:00"/>
    <x v="1"/>
    <n v="330"/>
    <n v="210.12"/>
    <n v="0.38"/>
    <n v="36"/>
    <n v="294"/>
    <n v="165.95"/>
    <n v="43.78"/>
    <n v="45.35"/>
    <n v="40.989999999999995"/>
    <n v="9.3699999999999992"/>
    <n v="350"/>
    <n v="6"/>
    <n v="2"/>
    <n v="168.79000000000002"/>
    <m/>
    <n v="0.1"/>
    <n v="0.05"/>
    <n v="0.7"/>
    <n v="31.5"/>
    <n v="41"/>
    <n v="0.65"/>
    <n v="0.98"/>
    <n v="0.96"/>
    <n v="0.94"/>
    <n v="0.2"/>
    <n v="0.1"/>
    <n v="0.05"/>
    <n v="0.05"/>
    <n v="140"/>
    <n v="0"/>
    <n v="3690.53999999999"/>
  </r>
  <r>
    <x v="0"/>
    <n v="191"/>
    <x v="2"/>
    <x v="1"/>
    <x v="2"/>
    <n v="1"/>
    <n v="2861.95"/>
    <n v="1354.1112000000001"/>
    <n v="1297.2495999999999"/>
    <n v="0"/>
    <n v="0"/>
    <n v="0.99054373522458605"/>
    <n v="3.5799522673030999E-2"/>
    <n v="648.62480000000005"/>
    <n v="0"/>
    <n v="0.88939680538041199"/>
    <n v="324.31240000000003"/>
    <n v="152.75"/>
    <n v="0"/>
    <n v="0"/>
    <n v="6638.9979999999996"/>
    <n v="190.32"/>
    <n v="180"/>
    <n v="1297.2496000000001"/>
    <n v="4"/>
    <n v="190.32"/>
    <n v="0"/>
    <n v="648.62480000000005"/>
    <n v="11"/>
    <d v="2024-12-16T00:00:00"/>
    <x v="2"/>
    <n v="346"/>
    <n v="192.69"/>
    <n v="2.37"/>
    <n v="23"/>
    <n v="323"/>
    <n v="169.26999999999998"/>
    <n v="21.04"/>
    <n v="73.400000000000006"/>
    <n v="66.88000000000001"/>
    <n v="12.6"/>
    <n v="419"/>
    <n v="0"/>
    <n v="15"/>
    <n v="138.45999999999998"/>
    <m/>
    <n v="0.1"/>
    <n v="0.05"/>
    <n v="0.7"/>
    <n v="31.45"/>
    <n v="41.4"/>
    <n v="0.65"/>
    <n v="0.98"/>
    <n v="0.96"/>
    <n v="0.94"/>
    <n v="0.2"/>
    <n v="0.1"/>
    <n v="0.05"/>
    <n v="0.05"/>
    <n v="140"/>
    <n v="0"/>
    <n v="4203.9299999999985"/>
  </r>
  <r>
    <x v="0"/>
    <n v="60"/>
    <x v="3"/>
    <x v="2"/>
    <x v="0"/>
    <n v="0.83699999999999997"/>
    <n v="0"/>
    <n v="0"/>
    <n v="0"/>
    <n v="0"/>
    <n v="0"/>
    <n v="1"/>
    <n v="8.0000000000000002E-3"/>
    <n v="0"/>
    <n v="0"/>
    <n v="0.95659099960175198"/>
    <n v="0"/>
    <n v="28"/>
    <n v="0"/>
    <n v="1217.8499999999999"/>
    <n v="1245.8499999999999"/>
    <n v="50.22"/>
    <n v="60"/>
    <n v="0"/>
    <n v="0"/>
    <n v="50.22"/>
    <n v="0"/>
    <n v="0"/>
    <n v="0"/>
    <d v="2024-12-16T00:00:00"/>
    <x v="3"/>
    <n v="116"/>
    <n v="50.23"/>
    <n v="0.01"/>
    <n v="0"/>
    <n v="116"/>
    <n v="48.04"/>
    <n v="2.1800000000000002"/>
    <n v="16.25"/>
    <n v="15.78"/>
    <n v="2.31"/>
    <n v="125"/>
    <n v="0"/>
    <n v="1"/>
    <n v="50.22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1217.8499999999999"/>
  </r>
  <r>
    <x v="0"/>
    <n v="85"/>
    <x v="4"/>
    <x v="3"/>
    <x v="3"/>
    <n v="0.98517647058823499"/>
    <n v="1430.9749999999999"/>
    <n v="369.74340000000001"/>
    <n v="554.06719999999996"/>
    <n v="0"/>
    <n v="0"/>
    <n v="0.85465116279069797"/>
    <n v="2.7210884353741499E-2"/>
    <n v="0"/>
    <n v="0"/>
    <n v="0.76546453307857598"/>
    <n v="138.51679999999999"/>
    <n v="54.89"/>
    <n v="0"/>
    <n v="0"/>
    <n v="2548.1923999999999"/>
    <n v="83.74"/>
    <n v="85"/>
    <n v="554.06719999999996"/>
    <n v="16"/>
    <n v="0"/>
    <n v="0"/>
    <n v="0"/>
    <n v="0"/>
    <d v="2024-12-16T00:00:00"/>
    <x v="4"/>
    <n v="126"/>
    <n v="84.759999999999991"/>
    <n v="1.02"/>
    <n v="17"/>
    <n v="109"/>
    <n v="64.099999999999994"/>
    <n v="19.64"/>
    <n v="20.090000000000003"/>
    <n v="17.170000000000002"/>
    <n v="2.99"/>
    <n v="147"/>
    <n v="9"/>
    <n v="4"/>
    <n v="0"/>
    <m/>
    <n v="0.1"/>
    <n v="0.05"/>
    <n v="0.7"/>
    <n v="31.45"/>
    <n v="41.4"/>
    <n v="0.65"/>
    <n v="0.98"/>
    <n v="0.96"/>
    <n v="0.94"/>
    <n v="0.2"/>
    <n v="0.1"/>
    <n v="0.05"/>
    <n v="0.05"/>
    <n v="70"/>
    <n v="83.74"/>
    <n v="1541.6599999999989"/>
  </r>
  <r>
    <x v="1"/>
    <n v="50"/>
    <x v="5"/>
    <x v="4"/>
    <x v="0"/>
    <n v="0.48699999999999999"/>
    <n v="0"/>
    <n v="0"/>
    <n v="0"/>
    <n v="0"/>
    <n v="0"/>
    <n v="1"/>
    <n v="0"/>
    <n v="0"/>
    <n v="0"/>
    <n v="0.92772073921971199"/>
    <n v="0"/>
    <n v="70"/>
    <n v="0"/>
    <n v="515.36"/>
    <n v="585.36"/>
    <n v="24.35"/>
    <n v="50"/>
    <n v="0"/>
    <n v="0"/>
    <n v="24.35"/>
    <n v="0"/>
    <n v="0"/>
    <n v="0"/>
    <d v="2024-12-23T00:00:00"/>
    <x v="0"/>
    <n v="59"/>
    <n v="24.35"/>
    <n v="0"/>
    <n v="0"/>
    <n v="59"/>
    <n v="22.59"/>
    <n v="1.75"/>
    <n v="0"/>
    <n v="0"/>
    <n v="2.42"/>
    <n v="68"/>
    <n v="0"/>
    <n v="0"/>
    <n v="24.35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515.36"/>
  </r>
  <r>
    <x v="1"/>
    <n v="220"/>
    <x v="6"/>
    <x v="1"/>
    <x v="4"/>
    <n v="1"/>
    <n v="2866.5"/>
    <n v="2132"/>
    <n v="1538.0000000000002"/>
    <n v="0"/>
    <n v="0"/>
    <n v="0.965034965034965"/>
    <n v="1.9323671497584499E-2"/>
    <n v="769"/>
    <n v="0"/>
    <n v="0.69506625062180605"/>
    <n v="0"/>
    <n v="129.03"/>
    <n v="0"/>
    <n v="0"/>
    <n v="7434.53"/>
    <n v="220"/>
    <n v="220"/>
    <n v="1538"/>
    <n v="1"/>
    <n v="220"/>
    <n v="0"/>
    <n v="769"/>
    <n v="0"/>
    <d v="2024-12-23T00:00:00"/>
    <x v="1"/>
    <n v="359"/>
    <n v="221.25"/>
    <n v="0.12000000000000001"/>
    <n v="17"/>
    <n v="342"/>
    <n v="153.70000000000002"/>
    <n v="67.42"/>
    <n v="57.440000000000005"/>
    <n v="44.120000000000005"/>
    <n v="10.51"/>
    <n v="414"/>
    <n v="14"/>
    <n v="8"/>
    <n v="190.96"/>
    <m/>
    <n v="0.1"/>
    <n v="0.05"/>
    <n v="0.7"/>
    <n v="31.5"/>
    <n v="41"/>
    <n v="0.65"/>
    <n v="0.98"/>
    <n v="0.96"/>
    <n v="0.94"/>
    <n v="0.2"/>
    <n v="0.1"/>
    <n v="0.05"/>
    <n v="0.05"/>
    <n v="140"/>
    <n v="0"/>
    <n v="3061.0299999999966"/>
  </r>
  <r>
    <x v="1"/>
    <n v="206"/>
    <x v="7"/>
    <x v="1"/>
    <x v="5"/>
    <n v="1"/>
    <n v="2861.95"/>
    <n v="1762.0668000000001"/>
    <n v="1422.7743999999998"/>
    <n v="0"/>
    <n v="0"/>
    <n v="0.99120879120879102"/>
    <n v="3.54767184035477E-2"/>
    <n v="711.38720000000001"/>
    <n v="0"/>
    <n v="0.83633443644150296"/>
    <n v="355.6936"/>
    <n v="140.38999999999999"/>
    <n v="0"/>
    <n v="0"/>
    <n v="7254.2619999999997"/>
    <n v="205.48"/>
    <n v="205"/>
    <n v="1422.7744"/>
    <n v="3"/>
    <n v="205.48"/>
    <n v="0"/>
    <n v="711.38720000000001"/>
    <n v="1"/>
    <d v="2024-12-23T00:00:00"/>
    <x v="2"/>
    <n v="383"/>
    <n v="210.51000000000002"/>
    <n v="5.03"/>
    <n v="42"/>
    <n v="341"/>
    <n v="171.85"/>
    <n v="33.620000000000005"/>
    <n v="85.1"/>
    <n v="71.489999999999995"/>
    <n v="12.5"/>
    <n v="451"/>
    <n v="1"/>
    <n v="16"/>
    <n v="148.26000000000002"/>
    <m/>
    <n v="0.1"/>
    <n v="0.05"/>
    <n v="0.7"/>
    <n v="31.45"/>
    <n v="41.4"/>
    <n v="0.65"/>
    <n v="0.98"/>
    <n v="0.96"/>
    <n v="0.94"/>
    <n v="0.2"/>
    <n v="0.1"/>
    <n v="0.05"/>
    <n v="0.05"/>
    <n v="140"/>
    <n v="0"/>
    <n v="3911.1699999999951"/>
  </r>
  <r>
    <x v="1"/>
    <n v="60"/>
    <x v="8"/>
    <x v="5"/>
    <x v="0"/>
    <n v="0.43966666666666698"/>
    <n v="0"/>
    <n v="0"/>
    <n v="0"/>
    <n v="0"/>
    <n v="0"/>
    <n v="1"/>
    <n v="0"/>
    <n v="0"/>
    <n v="0"/>
    <n v="0.94806671721000801"/>
    <n v="0"/>
    <n v="17.59"/>
    <n v="0"/>
    <n v="588.719999999999"/>
    <n v="606.30999999999995"/>
    <n v="26.38"/>
    <n v="60"/>
    <n v="0"/>
    <n v="0"/>
    <n v="26.38"/>
    <n v="0"/>
    <n v="0"/>
    <n v="0"/>
    <d v="2024-12-23T00:00:00"/>
    <x v="3"/>
    <n v="70"/>
    <n v="26.38"/>
    <n v="0"/>
    <n v="0"/>
    <n v="70"/>
    <n v="25.01"/>
    <n v="1.36"/>
    <n v="14.51"/>
    <n v="14.04"/>
    <n v="2.65"/>
    <n v="74"/>
    <n v="0"/>
    <n v="0"/>
    <n v="26.38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588.719999999999"/>
  </r>
  <r>
    <x v="1"/>
    <n v="107"/>
    <x v="9"/>
    <x v="3"/>
    <x v="6"/>
    <n v="1"/>
    <n v="1430.9749999999999"/>
    <n v="994.86270000000002"/>
    <n v="746.41159999999991"/>
    <n v="0"/>
    <n v="0"/>
    <n v="0.93467336683417102"/>
    <n v="1.6129032258064498E-2"/>
    <n v="0"/>
    <n v="186.60290000000001"/>
    <n v="0.76255024773300895"/>
    <n v="186.60290000000001"/>
    <n v="143.81"/>
    <n v="0"/>
    <n v="0"/>
    <n v="3689.2651000000001"/>
    <n v="106.97"/>
    <n v="100"/>
    <n v="746.41160000000002"/>
    <n v="6"/>
    <n v="0"/>
    <n v="106.97"/>
    <n v="186.60290000000001"/>
    <n v="7"/>
    <d v="2024-12-23T00:00:00"/>
    <x v="4"/>
    <n v="172"/>
    <n v="109.49000000000001"/>
    <n v="2.52"/>
    <n v="30"/>
    <n v="142"/>
    <n v="81.570000000000007"/>
    <n v="25.39"/>
    <n v="43.36"/>
    <n v="39.599999999999994"/>
    <n v="4.95"/>
    <n v="186"/>
    <n v="7"/>
    <n v="3"/>
    <n v="49.25"/>
    <m/>
    <n v="0.1"/>
    <n v="0.05"/>
    <n v="0.7"/>
    <n v="31.45"/>
    <n v="41.4"/>
    <n v="0.65"/>
    <n v="0.98"/>
    <n v="0.96"/>
    <n v="0.94"/>
    <n v="0.2"/>
    <n v="0.1"/>
    <n v="0.05"/>
    <n v="0.05"/>
    <n v="70"/>
    <n v="0"/>
    <n v="1873.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1C5E92-8B47-4798-BA95-DDDC5AD5AAD8}" name="PivotTable1" cacheId="0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A3:E14" firstHeaderRow="1" firstDataRow="1" firstDataCol="5"/>
  <pivotFields count="62"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9"/>
        <item m="1" x="24"/>
        <item m="1" x="26"/>
        <item m="1" x="21"/>
        <item m="1" x="25"/>
        <item m="1" x="30"/>
        <item m="1" x="27"/>
        <item m="1" x="22"/>
        <item m="1" x="28"/>
        <item m="1" x="23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20"/>
        <item m="1" x="19"/>
        <item x="0"/>
        <item x="1"/>
        <item x="2"/>
        <item x="3"/>
        <item x="4"/>
        <item x="5"/>
        <item x="6"/>
        <item x="7"/>
        <item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">
        <item m="1" x="15"/>
        <item m="1" x="14"/>
        <item m="1" x="6"/>
        <item m="1" x="13"/>
        <item x="3"/>
        <item x="1"/>
        <item m="1" x="11"/>
        <item m="1" x="7"/>
        <item m="1" x="8"/>
        <item m="1" x="9"/>
        <item m="1" x="12"/>
        <item m="1" x="10"/>
        <item x="0"/>
        <item x="2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2">
        <item x="0"/>
        <item m="1" x="18"/>
        <item m="1" x="21"/>
        <item m="1" x="19"/>
        <item m="1" x="15"/>
        <item m="1" x="20"/>
        <item m="1" x="17"/>
        <item m="1" x="16"/>
        <item m="1" x="9"/>
        <item m="1" x="10"/>
        <item m="1" x="14"/>
        <item x="4"/>
        <item m="1" x="13"/>
        <item m="1" x="12"/>
        <item m="1" x="11"/>
        <item x="1"/>
        <item m="1" x="8"/>
        <item x="3"/>
        <item x="5"/>
        <item m="1" x="7"/>
        <item x="2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2"/>
        <item x="3"/>
        <item x="1"/>
        <item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30"/>
    <field x="0"/>
    <field x="2"/>
    <field x="3"/>
    <field x="4"/>
  </rowFields>
  <rowItems count="11">
    <i>
      <x/>
      <x/>
      <x v="21"/>
      <x v="12"/>
      <x/>
    </i>
    <i r="1">
      <x v="1"/>
      <x v="26"/>
      <x v="14"/>
      <x/>
    </i>
    <i>
      <x v="1"/>
      <x/>
      <x v="23"/>
      <x v="5"/>
      <x v="20"/>
    </i>
    <i r="1">
      <x v="1"/>
      <x v="28"/>
      <x v="5"/>
      <x v="18"/>
    </i>
    <i>
      <x v="2"/>
      <x/>
      <x v="24"/>
      <x v="13"/>
      <x/>
    </i>
    <i r="1">
      <x v="1"/>
      <x v="29"/>
      <x v="15"/>
      <x/>
    </i>
    <i>
      <x v="3"/>
      <x/>
      <x v="22"/>
      <x v="5"/>
      <x v="15"/>
    </i>
    <i r="1">
      <x v="1"/>
      <x v="27"/>
      <x v="5"/>
      <x v="11"/>
    </i>
    <i>
      <x v="4"/>
      <x/>
      <x v="25"/>
      <x v="4"/>
      <x v="17"/>
    </i>
    <i r="1">
      <x v="1"/>
      <x v="30"/>
      <x v="4"/>
      <x v="2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D2DCE6D9-0E1B-446C-8427-7E310ABE20E7}" autoFormatId="16" applyNumberFormats="0" applyBorderFormats="0" applyFontFormats="0" applyPatternFormats="0" applyAlignmentFormats="0" applyWidthHeightFormats="0">
  <queryTableRefresh nextId="35">
    <queryTableFields count="17">
      <queryTableField id="1" name="PARTNER" tableColumnId="1"/>
      <queryTableField id="16" name="UNIT" tableColumnId="7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10" name="Other Income" tableColumnId="10"/>
      <queryTableField id="8" name="Bonus" tableColumnId="8"/>
      <queryTableField id="11" name="Reimbursement" tableColumnId="11"/>
      <queryTableField id="18" name="Tolls" tableColumnId="9"/>
      <queryTableField id="19" name="Camera Tickets" tableColumnId="15"/>
      <queryTableField id="20" name="Parking Tickets" tableColumnId="16"/>
      <queryTableField id="13" name="Other Deductions" tableColumnId="12"/>
      <queryTableField id="33" name="Type" tableColumnId="14"/>
      <queryTableField id="14" name="PartnerSort" tableColumnId="13"/>
      <queryTableField id="24" name="Total Violation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CA1346E6-8296-4B58-8A4C-43766E6D1D8F}" autoFormatId="16" applyNumberFormats="0" applyBorderFormats="0" applyFontFormats="0" applyPatternFormats="0" applyAlignmentFormats="0" applyWidthHeightFormats="0">
  <queryTableRefresh nextId="108">
    <queryTableFields count="37">
      <queryTableField id="1" name="Week" tableColumnId="1"/>
      <queryTableField id="48" name="First_Name" tableColumnId="2"/>
      <queryTableField id="49" name="Last_Name" tableColumnId="4"/>
      <queryTableField id="8" name="Total Comp Trips" tableColumnId="8"/>
      <queryTableField id="50" name="Acceptance Rate" tableColumnId="5"/>
      <queryTableField id="51" name="Cancellation Rate" tableColumnId="9"/>
      <queryTableField id="52" name="Total Supply Hours" tableColumnId="10"/>
      <queryTableField id="53" name="Paused Hours" tableColumnId="13"/>
      <queryTableField id="11" name="Online Hours" tableColumnId="11"/>
      <queryTableField id="54" name="Driver_Earnings_Excl_Tips" tableColumnId="14"/>
      <queryTableField id="55" name="Driver_Tips" tableColumnId="15"/>
      <queryTableField id="105" name="Tolls" tableColumnId="23"/>
      <queryTableField id="3" name="Driver_uuid" tableColumnId="3"/>
      <queryTableField id="6" name="WAV Trips" tableColumnId="6"/>
      <queryTableField id="7" name="Non WAV Trips" tableColumnId="7"/>
      <queryTableField id="56" name="Utilized Hours" tableColumnId="16"/>
      <queryTableField id="103" name="Total_Expired_Offers" tableColumnId="22"/>
      <queryTableField id="57" name="Open Hours" tableColumnId="17"/>
      <queryTableField id="58" name="Core Hours_Total Supply Hours" tableColumnId="18"/>
      <queryTableField id="59" name="Core Hours_Utilized Hours" tableColumnId="19"/>
      <queryTableField id="12" name="Trips per Hour" tableColumnId="12"/>
      <queryTableField id="60" name="Total_Accepts" tableColumnId="20"/>
      <queryTableField id="61" name="Total_Rejects" tableColumnId="26"/>
      <queryTableField id="62" name="Total_Cancels" tableColumnId="27"/>
      <queryTableField id="92" name="Tier 1 ARDCRI" tableColumnId="39"/>
      <queryTableField id="93" name="Tier 2 ARDCRI" tableColumnId="40"/>
      <queryTableField id="65" name="Non KPI" tableColumnId="36"/>
      <queryTableField id="32" name="WeekN" tableColumnId="32"/>
      <queryTableField id="24" name="Per Normal Hour" tableColumnId="24"/>
      <queryTableField id="25" name="Per Bonus Hour" tableColumnId="25"/>
      <queryTableField id="96" name="Tier 1 ARDCRI Rate" tableColumnId="41"/>
      <queryTableField id="97" name="Tier 2 ARDCRI Rate" tableColumnId="42"/>
      <queryTableField id="41" name="FUEL RATE" tableColumnId="33"/>
      <queryTableField id="29" name="KPI Hours" tableColumnId="29"/>
      <queryTableField id="30" name="Operators Name" tableColumnId="30"/>
      <queryTableField id="31" name="PARTNER NAME" tableColumnId="31"/>
      <queryTableField id="102" name="Utilization Target" tableColumnId="2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D60C4C2A-9904-4205-9367-F8C17812D754}" autoFormatId="16" applyNumberFormats="0" applyBorderFormats="0" applyFontFormats="0" applyPatternFormats="0" applyAlignmentFormats="0" applyWidthHeightFormats="0">
  <queryTableRefresh nextId="271">
    <queryTableFields count="62">
      <queryTableField id="1" name="WeekN" tableColumnId="1"/>
      <queryTableField id="123" name="Allowable Hours" tableColumnId="56"/>
      <queryTableField id="18" name="Online Hours" tableColumnId="18"/>
      <queryTableField id="246" name="Payable Normal Hours" tableColumnId="61"/>
      <queryTableField id="69" name="Payable Bonus Hours" tableColumnId="49"/>
      <queryTableField id="59" name="% of Hours to Required" tableColumnId="39"/>
      <queryTableField id="190" name="Core Hours Rev" tableColumnId="51"/>
      <queryTableField id="70" name="Bonus Hours Rev" tableColumnId="50"/>
      <queryTableField id="125" name="CHI Tier 1 Rev" tableColumnId="57"/>
      <queryTableField id="126" name="CHI Tier 2 Rev" tableColumnId="58"/>
      <queryTableField id="127" name="CHI Tier 3 Rev" tableColumnId="59"/>
      <queryTableField id="61" name="Acceptance Rate" tableColumnId="41"/>
      <queryTableField id="62" name="Cancellation Rate" tableColumnId="42"/>
      <queryTableField id="66" name="Tier 1 ARDCRI KPI Rev" tableColumnId="46"/>
      <queryTableField id="67" name="Tier 2 ARDCRI KPI Rev" tableColumnId="47"/>
      <queryTableField id="104" name="Utilization%" tableColumnId="52"/>
      <queryTableField id="106" name="Utilization Rev" tableColumnId="54"/>
      <queryTableField id="34" name="Driver Tips" tableColumnId="5"/>
      <queryTableField id="268" name="Tolls" tableColumnId="63"/>
      <queryTableField id="188" name="CHI Non-KPI" tableColumnId="60"/>
      <queryTableField id="108" name="Total Rev" tableColumnId="55"/>
      <queryTableField id="58" name="Payable Online Hours" tableColumnId="38"/>
      <queryTableField id="23" name="Required" tableColumnId="23"/>
      <queryTableField id="60" name="CHI Rev" tableColumnId="40"/>
      <queryTableField id="266" name="Total Expired Offers" tableColumnId="62"/>
      <queryTableField id="63" name="Tier 1 ARDCRI KPI" tableColumnId="43"/>
      <queryTableField id="64" name="Tier 2 ARDCRI KPI" tableColumnId="44"/>
      <queryTableField id="68" name="Total ARDCRI KPI Rev" tableColumnId="48"/>
      <queryTableField id="48" name="Approved Extra Hours" tableColumnId="26"/>
      <queryTableField id="12" name="Week" tableColumnId="12"/>
      <queryTableField id="13" name="PARTNER NAME" tableColumnId="13"/>
      <queryTableField id="28" name="Total Comp Trips" tableColumnId="27"/>
      <queryTableField id="31" name="Total Supply Hours" tableColumnId="2"/>
      <queryTableField id="32" name="Paused Hours" tableColumnId="3"/>
      <queryTableField id="35" name="WAV Trips" tableColumnId="6"/>
      <queryTableField id="36" name="Non WAV Trips" tableColumnId="7"/>
      <queryTableField id="37" name="Utilized Hours" tableColumnId="8"/>
      <queryTableField id="38" name="Open Hours" tableColumnId="9"/>
      <queryTableField id="39" name="Core Total Supply Hours" tableColumnId="10"/>
      <queryTableField id="40" name="Core Utilized Hours" tableColumnId="11"/>
      <queryTableField id="41" name="Trips Per Hours" tableColumnId="15"/>
      <queryTableField id="42" name="Total Accepts" tableColumnId="16"/>
      <queryTableField id="43" name="Total Rejects" tableColumnId="17"/>
      <queryTableField id="44" name="Total Cancels" tableColumnId="19"/>
      <queryTableField id="14" name="KPI Hours" tableColumnId="14"/>
      <queryTableField id="29" name="Fuel Rate" tableColumnId="28"/>
      <queryTableField id="45" name="Tier 1 ARDCRI Rate" tableColumnId="20"/>
      <queryTableField id="46" name="Tier 2 ARDCRI Rate" tableColumnId="24"/>
      <queryTableField id="47" name="Utilization Target" tableColumnId="25"/>
      <queryTableField id="49" name="Rate" tableColumnId="29"/>
      <queryTableField id="50" name="Bonus Rate" tableColumnId="30"/>
      <queryTableField id="51" name="Core Rate" tableColumnId="31"/>
      <queryTableField id="52" name="CHI Tier 1" tableColumnId="32"/>
      <queryTableField id="53" name="CHI Tier 2" tableColumnId="33"/>
      <queryTableField id="54" name="CHI Tier 3" tableColumnId="34"/>
      <queryTableField id="55" name="CHI Tier 1 Rate" tableColumnId="35"/>
      <queryTableField id="56" name="CHI Tier 2 Rate" tableColumnId="36"/>
      <queryTableField id="57" name="CHI Tier 3 Rate" tableColumnId="37"/>
      <queryTableField id="105" name="Utilization Incentive Rate" tableColumnId="53"/>
      <queryTableField id="21" name="Normal Hours" tableColumnId="21"/>
      <queryTableField id="65" name="ARDCRI Non KPI" tableColumnId="45"/>
      <queryTableField id="33" name="Driver Earnings Excl Tips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224F39BD-0985-41DE-8F6E-77D5E8459D35}" autoFormatId="16" applyNumberFormats="0" applyBorderFormats="0" applyFontFormats="0" applyPatternFormats="0" applyAlignmentFormats="0" applyWidthHeightFormats="0">
  <queryTableRefresh nextId="7">
    <queryTableFields count="4">
      <queryTableField id="1" name="PARTNER NAME" tableColumnId="1"/>
      <queryTableField id="2" name="OPERATOR NAME" tableColumnId="2"/>
      <queryTableField id="5" name="VDPMVReportOperatorCheck.Operators Name" tableColumnId="5"/>
      <queryTableField id="6" name="VDPMVReportOperatorCheck.PARTNER NAM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6958CAFD-6EA2-4F39-8369-83BA42623483}" autoFormatId="16" applyNumberFormats="0" applyBorderFormats="0" applyFontFormats="0" applyPatternFormats="0" applyAlignmentFormats="0" applyWidthHeightFormats="0">
  <queryTableRefresh nextId="14">
    <queryTableFields count="5">
      <queryTableField id="1" name="PARTNER NAME" tableColumnId="1"/>
      <queryTableField id="3" name="FILE #" tableColumnId="3"/>
      <queryTableField id="2" name="EMAIL" tableColumnId="2"/>
      <queryTableField id="12" name="CLIENT TYPE" tableColumnId="11"/>
      <queryTableField id="13" name="PartnerSort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892E242-3212-44C0-84F0-CAC83DC4AC28}" autoFormatId="16" applyNumberFormats="0" applyBorderFormats="0" applyFontFormats="0" applyPatternFormats="0" applyAlignmentFormats="0" applyWidthHeightFormats="0">
  <queryTableRefresh nextId="13">
    <queryTableFields count="7">
      <queryTableField id="1" name="PARTNER NAME" tableColumnId="1"/>
      <queryTableField id="2" name="OPERATOR NAME" tableColumnId="2"/>
      <queryTableField id="10" name="CLIENT TYPE" tableColumnId="10"/>
      <queryTableField id="3" name="VEHICLE TYPE" tableColumnId="3"/>
      <queryTableField id="4" name="EMAIL" tableColumnId="4"/>
      <queryTableField id="5" name="FILE #" tableColumnId="5"/>
      <queryTableField id="11" name="CLIENT TYPE - Copy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2C2563C2-4BE6-4843-BF93-30CBF479967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B858F978-7D7A-42AA-B42E-5A5BA6F91FB2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BD8F8C3-05A0-4C87-AE00-6826F2A84934}" name="PayDate" displayName="PayDate" ref="B1:J3" totalsRowShown="0" headerRowDxfId="32" dataDxfId="31">
  <tableColumns count="9">
    <tableColumn id="1" xr3:uid="{6E8F3551-4DCE-46CE-BD28-51A8302E87CB}" name="Type" dataDxfId="30"/>
    <tableColumn id="2" xr3:uid="{5404B4C5-ECEF-4C1F-8A18-BC9D8BE1C71B}" name="Start" dataDxfId="29"/>
    <tableColumn id="3" xr3:uid="{ED569C2B-A42E-43C5-A2F6-A3987EE52677}" name="End" dataDxfId="28"/>
    <tableColumn id="8" xr3:uid="{7528310C-79CF-4C2C-A6A6-945EB7C53D6F}" name="Week#" dataDxfId="27"/>
    <tableColumn id="9" xr3:uid="{F2617BD1-87E6-401A-9CEE-DF2A049276C1}" name="Per Normal Hour" dataDxfId="26"/>
    <tableColumn id="10" xr3:uid="{6AF37710-9F7B-4387-9CC2-103D69851C62}" name="Per Bonus Hour" dataDxfId="25"/>
    <tableColumn id="6" xr3:uid="{AE3F7AE3-B9B7-4FBD-BECC-F855DB3120A1}" name="Utilization Target" dataDxfId="24"/>
    <tableColumn id="4" xr3:uid="{76EDF2B3-48C2-41BC-8C8B-1E1DA27282E5}" name="Tier 1 ARDCRI Rate" dataDxfId="23" dataCellStyle="Percent"/>
    <tableColumn id="5" xr3:uid="{623BF9A5-9791-48A7-A063-0FCE89090301}" name="Tier 2 ARDCRI Rate" dataDxfId="22" dataCellStyle="Percent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25E9FDE-B83D-4045-8FD5-DD203C9CE861}" name="Deduction_and_other_Revenue" displayName="Deduction_and_other_Revenue" ref="A1:Q26" tableType="queryTable" totalsRowShown="0">
  <autoFilter ref="A1:Q26" xr:uid="{425E9FDE-B83D-4045-8FD5-DD203C9CE861}"/>
  <tableColumns count="17">
    <tableColumn id="1" xr3:uid="{E230C15D-1F50-42B6-BAD8-8BBB397BDDF0}" uniqueName="1" name="PARTNER" queryTableFieldId="1" dataDxfId="21"/>
    <tableColumn id="7" xr3:uid="{6391F556-8AFE-459C-94D5-77F89EDE79EE}" uniqueName="7" name="UNIT" queryTableFieldId="16" dataDxfId="20"/>
    <tableColumn id="2" xr3:uid="{FDA77ECC-58B1-45D3-AAFE-3FD50174B382}" uniqueName="2" name=" Lift Lease Rate" queryTableFieldId="2"/>
    <tableColumn id="3" xr3:uid="{383136D9-354C-4C90-8568-7D1FC827BD23}" uniqueName="3" name="Lift Lease " queryTableFieldId="3"/>
    <tableColumn id="4" xr3:uid="{1AA8C03B-A98A-45A2-9A1B-A02E6127287F}" uniqueName="4" name="LIFT LEASE TOTAL" queryTableFieldId="4"/>
    <tableColumn id="5" xr3:uid="{27871CC5-312D-41E2-826D-0D1DB01B1A59}" uniqueName="5" name="Credentials" queryTableFieldId="5"/>
    <tableColumn id="6" xr3:uid="{4D8D5984-AE63-4632-AA8D-C4E7A2459F54}" uniqueName="6" name="Violation" queryTableFieldId="6"/>
    <tableColumn id="10" xr3:uid="{AFD21216-A3B4-4F5F-A17C-932520FB7941}" uniqueName="10" name="Other Income" queryTableFieldId="10"/>
    <tableColumn id="8" xr3:uid="{F9E8E85D-2F7E-4F70-ABD3-EBF6885056BC}" uniqueName="8" name="Bonus" queryTableFieldId="8"/>
    <tableColumn id="11" xr3:uid="{3DDB4E72-A04D-4FD0-8ADA-AD4A8EDDAC8D}" uniqueName="11" name="Reimbursement" queryTableFieldId="11"/>
    <tableColumn id="9" xr3:uid="{93196EBC-E47A-445C-A087-FCFD70D6DC7A}" uniqueName="9" name="Tolls" queryTableFieldId="18"/>
    <tableColumn id="15" xr3:uid="{657A556A-96C4-4B93-8A73-C06F94D5D6F3}" uniqueName="15" name="Camera Tickets" queryTableFieldId="19"/>
    <tableColumn id="16" xr3:uid="{1C2E16E2-F264-46C7-80E3-583DA100A0E2}" uniqueName="16" name="Parking Tickets" queryTableFieldId="20"/>
    <tableColumn id="12" xr3:uid="{685EFA01-EDA7-42B5-918E-C41E019C5306}" uniqueName="12" name="Other Deductions" queryTableFieldId="13" dataDxfId="19"/>
    <tableColumn id="14" xr3:uid="{44A4EDE2-AF1F-4CF7-AE99-4C5429A562F7}" uniqueName="14" name="TYPE" queryTableFieldId="33"/>
    <tableColumn id="13" xr3:uid="{329F7B22-1C3F-419A-8D5B-854CBDE15B22}" uniqueName="13" name="PartnerSort" queryTableFieldId="14"/>
    <tableColumn id="17" xr3:uid="{C9C014A0-8BB3-48F0-AD6F-CEB0C4AA61CC}" uniqueName="17" name="Total Violation" queryTableFieldId="2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5D12863-AD84-4A4B-B180-F1201FADB94C}" name="VDPMVReport" displayName="VDPMVReport" ref="A1:AK38" tableType="queryTable" totalsRowShown="0">
  <autoFilter ref="A1:AK38" xr:uid="{E5D12863-AD84-4A4B-B180-F1201FADB94C}">
    <filterColumn colId="35">
      <filters>
        <filter val="GET YOU THERE08"/>
      </filters>
    </filterColumn>
  </autoFilter>
  <sortState xmlns:xlrd2="http://schemas.microsoft.com/office/spreadsheetml/2017/richdata2" ref="A2:AK38">
    <sortCondition ref="M1:M38"/>
  </sortState>
  <tableColumns count="37">
    <tableColumn id="1" xr3:uid="{2DF377BE-88DC-4F51-A0C3-719C6FB3A4E6}" uniqueName="1" name="Week" queryTableFieldId="1" dataDxfId="18"/>
    <tableColumn id="2" xr3:uid="{798E0B00-C651-44C8-B61F-00F494CF165F}" uniqueName="2" name="First_Name" queryTableFieldId="48"/>
    <tableColumn id="4" xr3:uid="{E218B4F9-BA16-4FBB-BCEC-E0B807DA4F8E}" uniqueName="4" name="Last_Name" queryTableFieldId="49"/>
    <tableColumn id="8" xr3:uid="{09A09938-A4FD-437A-B0E2-8201634AFEF2}" uniqueName="8" name="Total Comp Trips" queryTableFieldId="8"/>
    <tableColumn id="5" xr3:uid="{4626307B-7315-46E9-927A-0CB50B8DBA83}" uniqueName="5" name="Acceptance Rate" queryTableFieldId="50"/>
    <tableColumn id="9" xr3:uid="{E6094D22-DA82-47A7-A3E5-3BE72C1D5222}" uniqueName="9" name="Cancellation Rate" queryTableFieldId="51"/>
    <tableColumn id="10" xr3:uid="{82AAE8AD-D98F-4171-936E-36DF0EC12912}" uniqueName="10" name="Total Supply Hours" queryTableFieldId="52"/>
    <tableColumn id="13" xr3:uid="{6D5B2178-8175-4DF4-9BA0-7F6A9DD8CF92}" uniqueName="13" name="Paused Hours" queryTableFieldId="53"/>
    <tableColumn id="11" xr3:uid="{074AF7D8-8998-48D3-9BFD-76F886265D04}" uniqueName="11" name="Online Hours" queryTableFieldId="11"/>
    <tableColumn id="14" xr3:uid="{D9432069-4A6A-4F65-8BCC-51F252FB909B}" uniqueName="14" name="Driver_Earnings_Excl_Tips" queryTableFieldId="54"/>
    <tableColumn id="15" xr3:uid="{DE5046C3-2ACE-476D-ACB0-37B41C43E9D6}" uniqueName="15" name="Driver_Tips" queryTableFieldId="55"/>
    <tableColumn id="23" xr3:uid="{C2657E5F-7269-47F2-A5D9-3CA7F98ED5DA}" uniqueName="23" name="Tolls" queryTableFieldId="105"/>
    <tableColumn id="3" xr3:uid="{EC0400E4-A142-469E-9861-9ACAF3F32E74}" uniqueName="3" name="Driver_UUID" queryTableFieldId="3"/>
    <tableColumn id="6" xr3:uid="{EC8F31BE-8870-4909-AFE7-4B79024C8B2F}" uniqueName="6" name="WAV Trips" queryTableFieldId="6"/>
    <tableColumn id="7" xr3:uid="{0D47D7EA-376D-4988-B094-25172054A0D9}" uniqueName="7" name="Non WAV Trips" queryTableFieldId="7"/>
    <tableColumn id="16" xr3:uid="{982DE786-E326-4AF5-BEC1-4B9CBA9E6B9D}" uniqueName="16" name="Utilized Hours" queryTableFieldId="56"/>
    <tableColumn id="22" xr3:uid="{43ADE153-15A4-4D8F-8D87-2AF015BF111F}" uniqueName="22" name="Total_Expired_Offers" queryTableFieldId="103"/>
    <tableColumn id="17" xr3:uid="{3855E4D7-F87E-4E95-BE70-FF6E659E355D}" uniqueName="17" name="Open Hours" queryTableFieldId="57"/>
    <tableColumn id="18" xr3:uid="{093490E9-1148-4322-935E-ED6C5D06BCA9}" uniqueName="18" name="Core Hours_Total Supply Hours" queryTableFieldId="58"/>
    <tableColumn id="19" xr3:uid="{3702366E-7C19-431C-A6E7-AC419D7B2790}" uniqueName="19" name="Core Hours_Utilized Hours" queryTableFieldId="59"/>
    <tableColumn id="12" xr3:uid="{935B200F-FD50-4148-83B1-0499B101A3DA}" uniqueName="12" name="Trips per Hour" queryTableFieldId="12"/>
    <tableColumn id="20" xr3:uid="{97EF6DE4-E84B-4E2B-9557-D60A3C7287C2}" uniqueName="20" name="Total_Accepts" queryTableFieldId="60"/>
    <tableColumn id="26" xr3:uid="{A0D59E15-EAC8-41F5-98BE-65F288739621}" uniqueName="26" name="Total_Rejects" queryTableFieldId="61"/>
    <tableColumn id="27" xr3:uid="{715B8E3C-BDC0-48B4-920F-6A2FC3954059}" uniqueName="27" name="Total_Cancels" queryTableFieldId="62"/>
    <tableColumn id="39" xr3:uid="{DB0BDC88-9F87-47AC-9D91-C1D94A1727CD}" uniqueName="39" name="Tier 1 ARDCRI" queryTableFieldId="92"/>
    <tableColumn id="40" xr3:uid="{FBA1556E-2FD1-4A99-88C0-861C69B55704}" uniqueName="40" name="Tier 2 ARDCRI" queryTableFieldId="93"/>
    <tableColumn id="36" xr3:uid="{A0F30C11-222E-4438-93D0-9815F100A0BC}" uniqueName="36" name="Non KPI" queryTableFieldId="65"/>
    <tableColumn id="32" xr3:uid="{FD0069D7-BC74-49D0-8403-75914F971A35}" uniqueName="32" name="WeekN" queryTableFieldId="32"/>
    <tableColumn id="24" xr3:uid="{30700B5B-2E9A-4180-86D4-DDFD8AA599AA}" uniqueName="24" name="Per Normal Hour" queryTableFieldId="24"/>
    <tableColumn id="25" xr3:uid="{CEE715F0-24C3-4773-AE40-4EFE9BF9C6D3}" uniqueName="25" name="Per Bonus Hour" queryTableFieldId="25"/>
    <tableColumn id="41" xr3:uid="{3D26C2A3-3B84-475B-AFFB-1661347494EC}" uniqueName="41" name="Tier 1 ARDCRI Rate" queryTableFieldId="96"/>
    <tableColumn id="42" xr3:uid="{AFA17DE5-F618-4F40-9EF3-6F623E8DF14D}" uniqueName="42" name="Tier 2 ARDCRI Rate" queryTableFieldId="97"/>
    <tableColumn id="33" xr3:uid="{C0C0ECBC-94F6-42C4-9C09-623BB8768F8C}" uniqueName="33" name="FUEL RATE" queryTableFieldId="41"/>
    <tableColumn id="29" xr3:uid="{2E587C69-7939-4E99-8D32-73E87A70A731}" uniqueName="29" name="KPI Hours" queryTableFieldId="29"/>
    <tableColumn id="30" xr3:uid="{C924EB89-3718-4C66-BEF6-65D2CC47CDBE}" uniqueName="30" name="Operators Name" queryTableFieldId="30"/>
    <tableColumn id="31" xr3:uid="{0172D0D6-F321-4713-B651-7205A8E03DEC}" uniqueName="31" name="PARTNER NAME" queryTableFieldId="31"/>
    <tableColumn id="21" xr3:uid="{51970F0C-B8B0-4608-8EC4-3DFA8E1FBD78}" uniqueName="21" name="Utilization Target" queryTableFieldId="10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E01B30A-39AF-4694-BB2D-3D7EA17167B1}" name="SumVDPMVReport" displayName="SumVDPMVReport" ref="A1:BJ11" tableType="queryTable" totalsRowShown="0">
  <autoFilter ref="A1:BJ11" xr:uid="{DE01B30A-39AF-4694-BB2D-3D7EA17167B1}"/>
  <tableColumns count="62">
    <tableColumn id="1" xr3:uid="{BCA9B86A-B21C-465C-8805-C628C7CCD045}" uniqueName="1" name="WeekN" queryTableFieldId="1"/>
    <tableColumn id="56" xr3:uid="{798442CB-A18C-4123-9CB0-4AD6E63F20D1}" uniqueName="56" name="Allowable Hours" queryTableFieldId="123"/>
    <tableColumn id="18" xr3:uid="{7FD9F306-5BBD-48B0-A80B-43AA9118BB23}" uniqueName="18" name="Online Hours" queryTableFieldId="18"/>
    <tableColumn id="61" xr3:uid="{FD7FF020-5EBD-4B22-8209-6BDCBBE11F6B}" uniqueName="61" name="Payable Normal Hours" queryTableFieldId="246"/>
    <tableColumn id="49" xr3:uid="{25A2E0C2-CC5A-44D1-A51F-E5E95A42F545}" uniqueName="49" name="Payable Bonus Hours" queryTableFieldId="69"/>
    <tableColumn id="39" xr3:uid="{FFDF7F0C-895D-47C7-A8DA-EB4BAD95100E}" uniqueName="39" name="% of Hours to Required" queryTableFieldId="59" dataDxfId="17" dataCellStyle="Percent"/>
    <tableColumn id="51" xr3:uid="{9A467938-6A1F-42B8-B7A1-3C8AC1F3BC4A}" uniqueName="51" name="Core Hours Rev" queryTableFieldId="190"/>
    <tableColumn id="50" xr3:uid="{8A9FC133-1CDC-4645-9BFE-EB38D32FF42E}" uniqueName="50" name="Bonus Hours Rev" queryTableFieldId="70"/>
    <tableColumn id="57" xr3:uid="{337E06CD-8505-4C2E-B73D-12CF22252082}" uniqueName="57" name="CHI Tier 1 Rev" queryTableFieldId="125"/>
    <tableColumn id="58" xr3:uid="{97944ECE-D56D-456E-8E6C-5EF4E530A474}" uniqueName="58" name="CHI Tier 2 Rev" queryTableFieldId="126"/>
    <tableColumn id="59" xr3:uid="{E7EE9E56-940D-4B10-BB09-88F87C94EEEF}" uniqueName="59" name="CHI Tier 3 Rev" queryTableFieldId="127"/>
    <tableColumn id="41" xr3:uid="{A9B8F23C-D66C-4E35-9B3D-8FA92EDC4718}" uniqueName="41" name="Acceptance Rate" queryTableFieldId="61"/>
    <tableColumn id="42" xr3:uid="{ED138071-9E72-4D67-B834-7CA4948291A7}" uniqueName="42" name="Cancellation Rate" queryTableFieldId="62"/>
    <tableColumn id="46" xr3:uid="{68919068-E190-4AE6-A967-811164C7D6B8}" uniqueName="46" name="Tier 1 ARDCRI KPI Rev" queryTableFieldId="66"/>
    <tableColumn id="47" xr3:uid="{DBD6EBD3-81F9-459D-AF57-5CA0418CF821}" uniqueName="47" name="Tier 2 ARDCRI KPI Rev" queryTableFieldId="67"/>
    <tableColumn id="52" xr3:uid="{A14C6A52-D163-496E-AA77-F4609DE5DF6A}" uniqueName="52" name="Utilization%" queryTableFieldId="104"/>
    <tableColumn id="54" xr3:uid="{72824A9A-E16C-421C-A18D-126B7AA9B4BD}" uniqueName="54" name="Utilization Rev" queryTableFieldId="106"/>
    <tableColumn id="5" xr3:uid="{675B9B97-701A-4108-A8A9-3E9A8E4C3256}" uniqueName="5" name="Driver Tips" queryTableFieldId="34"/>
    <tableColumn id="63" xr3:uid="{7162ED37-4F7A-4002-95BF-694CD495515C}" uniqueName="63" name="Tolls" queryTableFieldId="268"/>
    <tableColumn id="60" xr3:uid="{705D8EC0-EB50-4D2D-8091-D7FD15AF4263}" uniqueName="60" name="CHI Non-KPI" queryTableFieldId="188"/>
    <tableColumn id="55" xr3:uid="{3DFFE008-C825-41F9-BFB2-200849DA9BAF}" uniqueName="55" name="Total Rev" queryTableFieldId="108"/>
    <tableColumn id="38" xr3:uid="{8D636687-415B-48F5-A497-1E99CDF83516}" uniqueName="38" name="Payable Online Hours" queryTableFieldId="58"/>
    <tableColumn id="23" xr3:uid="{B955CF5A-40E5-4C3F-AC36-595159EB5BFC}" uniqueName="23" name="Required" queryTableFieldId="23"/>
    <tableColumn id="40" xr3:uid="{5E335180-A536-467A-A97F-0A98E1053E98}" uniqueName="40" name="CHI Rev" queryTableFieldId="60"/>
    <tableColumn id="62" xr3:uid="{FD95311F-56B6-409F-A268-B98804B3D8E7}" uniqueName="62" name="Total Expired Offers" queryTableFieldId="266"/>
    <tableColumn id="43" xr3:uid="{3DCF6B19-421C-45E7-A49C-4D2F9E2EAE88}" uniqueName="43" name="Tier 1 ARDCRI KPI" queryTableFieldId="63"/>
    <tableColumn id="44" xr3:uid="{084B693E-45AF-415B-BE15-39F0FE3A305A}" uniqueName="44" name="Tier 2 ARDCRI KPI" queryTableFieldId="64"/>
    <tableColumn id="48" xr3:uid="{25FA59EE-F58A-46EB-890B-3D76154F1D8F}" uniqueName="48" name="Total ARDCRI KPI Rev" queryTableFieldId="68"/>
    <tableColumn id="26" xr3:uid="{F53B3832-19B2-41EF-9A04-32DCAEB52286}" uniqueName="26" name="Approved Extra Hours" queryTableFieldId="48"/>
    <tableColumn id="12" xr3:uid="{7142DAC2-C059-493C-A50B-EA53A7434572}" uniqueName="12" name="Week" queryTableFieldId="12" dataDxfId="16"/>
    <tableColumn id="13" xr3:uid="{ACB14871-4DC7-4470-94FF-89CA38B7B760}" uniqueName="13" name="PARTNER NAME" queryTableFieldId="13"/>
    <tableColumn id="27" xr3:uid="{EE7042DB-217D-4CC4-96E0-BEBCCAD91979}" uniqueName="27" name="Total Comp Trips" queryTableFieldId="28"/>
    <tableColumn id="2" xr3:uid="{813C8E2A-B836-4F3B-BD81-61096AC86804}" uniqueName="2" name="Total Supply Hours" queryTableFieldId="31"/>
    <tableColumn id="3" xr3:uid="{BEE27CB8-8059-469D-B020-7A6205EE2334}" uniqueName="3" name="Paused Hours" queryTableFieldId="32"/>
    <tableColumn id="6" xr3:uid="{C677F278-8321-4A9A-85C5-31470C244A70}" uniqueName="6" name="WAV Trips" queryTableFieldId="35"/>
    <tableColumn id="7" xr3:uid="{C6276B19-28E0-41AA-9E2E-5A83749B18E3}" uniqueName="7" name="Non WAV Trips" queryTableFieldId="36"/>
    <tableColumn id="8" xr3:uid="{5503E836-31D1-4123-B221-9036D265DD55}" uniqueName="8" name="Utilized Hours" queryTableFieldId="37"/>
    <tableColumn id="9" xr3:uid="{BBE85590-1C3B-4A01-8CC0-BA42022169ED}" uniqueName="9" name="Open Hours" queryTableFieldId="38"/>
    <tableColumn id="10" xr3:uid="{FB4BDED8-09DD-4C53-AB9D-A5C32FC0A5BA}" uniqueName="10" name="Core Total Supply Hours" queryTableFieldId="39"/>
    <tableColumn id="11" xr3:uid="{9EF30BBF-D298-417F-89CB-E536A2ACFBAB}" uniqueName="11" name="Core Utilized Hours" queryTableFieldId="40"/>
    <tableColumn id="15" xr3:uid="{45096706-5F86-4ED0-8576-6CB95FCB34AC}" uniqueName="15" name="Trips Per Hours" queryTableFieldId="41"/>
    <tableColumn id="16" xr3:uid="{96CA7F70-3E29-4416-A634-4A8D43B6EF67}" uniqueName="16" name="Total Accepts" queryTableFieldId="42"/>
    <tableColumn id="17" xr3:uid="{E476D4F3-1D5F-4BBE-892F-C2DC47E18A41}" uniqueName="17" name="Total Rejects" queryTableFieldId="43"/>
    <tableColumn id="19" xr3:uid="{DE1F84C7-8E3D-4212-873C-46B7780114BD}" uniqueName="19" name="Total Cancels" queryTableFieldId="44"/>
    <tableColumn id="14" xr3:uid="{EEF304CB-37CC-4F22-8302-A7BEF8A3A597}" uniqueName="14" name="KPI Hours" queryTableFieldId="14"/>
    <tableColumn id="28" xr3:uid="{D1F3AC6A-A3EF-4995-925F-30620CCFB663}" uniqueName="28" name="Fuel Rate" queryTableFieldId="29"/>
    <tableColumn id="20" xr3:uid="{5C1660AC-4F2B-4642-9D52-BDCE1CE09DF7}" uniqueName="20" name="Tier 1 ARDCRI Rate" queryTableFieldId="45"/>
    <tableColumn id="24" xr3:uid="{2A607528-6F2F-4651-A0F9-D17081700B1B}" uniqueName="24" name="Tier 2 ARDCRI Rate" queryTableFieldId="46"/>
    <tableColumn id="25" xr3:uid="{5FD92683-CA72-408D-8F3E-FFD34CE66ABD}" uniqueName="25" name="Utilization Target" queryTableFieldId="47"/>
    <tableColumn id="29" xr3:uid="{193EC7A3-70B5-4AB0-80D4-9C6BACE4D4CC}" uniqueName="29" name="Rate" queryTableFieldId="49"/>
    <tableColumn id="30" xr3:uid="{5A4DED75-6140-4A29-83F1-397C5F5B0491}" uniqueName="30" name="Bonus Rate" queryTableFieldId="50"/>
    <tableColumn id="31" xr3:uid="{28EA1AEC-EBE6-42AE-9BB6-D3AD89D99D02}" uniqueName="31" name="Core Rate" queryTableFieldId="51"/>
    <tableColumn id="32" xr3:uid="{E945E1ED-0444-4291-A514-A9B809205F52}" uniqueName="32" name="CHI Tier 1" queryTableFieldId="52"/>
    <tableColumn id="33" xr3:uid="{252000AA-3BB1-41C5-8F5B-239FA38CE9F3}" uniqueName="33" name="CHI Tier 2" queryTableFieldId="53"/>
    <tableColumn id="34" xr3:uid="{64C50D55-B619-4D9D-8BAF-5CD5F177DA79}" uniqueName="34" name="CHI Tier 3" queryTableFieldId="54"/>
    <tableColumn id="35" xr3:uid="{8597664D-51A9-4399-AA05-B3A6103C1117}" uniqueName="35" name="CHI Tier 1 Rate" queryTableFieldId="55"/>
    <tableColumn id="36" xr3:uid="{C77C7CCB-DCA9-4E03-A73B-FB0009B3219B}" uniqueName="36" name="CHI Tier 2 Rate" queryTableFieldId="56"/>
    <tableColumn id="37" xr3:uid="{518859BB-EEBD-4CC2-8F10-5339169B6685}" uniqueName="37" name="CHI Tier 3 Rate" queryTableFieldId="57"/>
    <tableColumn id="53" xr3:uid="{315D2B51-B978-492D-AEEB-C6DD801E5A5C}" uniqueName="53" name="Utilization Incentive Rate" queryTableFieldId="105"/>
    <tableColumn id="21" xr3:uid="{7902CF9F-7D50-48F3-A264-7D780B7D691F}" uniqueName="21" name="Normal Hours" queryTableFieldId="21"/>
    <tableColumn id="45" xr3:uid="{D37E3628-3889-40D6-9F7F-2BBE12FD995D}" uniqueName="45" name="ARDCRI Non KPI" queryTableFieldId="65"/>
    <tableColumn id="4" xr3:uid="{99AFF10C-0082-4CC4-A80C-4AF8FE53055E}" uniqueName="4" name="Driver Earnings Excl Tips" queryTableFieldId="3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30C87A-9A34-4027-8438-327EE37D5D09}" name="Div2PartnerOperatorCheck" displayName="Div2PartnerOperatorCheck" ref="A1:D59" tableType="queryTable" totalsRowShown="0">
  <autoFilter ref="A1:D59" xr:uid="{8C30C87A-9A34-4027-8438-327EE37D5D09}">
    <filterColumn colId="1">
      <filters blank="1"/>
    </filterColumn>
  </autoFilter>
  <tableColumns count="4">
    <tableColumn id="1" xr3:uid="{A2DDEF17-4180-474F-8FD2-4A742D02A595}" uniqueName="1" name="PARTNER NAME" queryTableFieldId="1" dataDxfId="15"/>
    <tableColumn id="2" xr3:uid="{199F8000-533A-4D13-9D9A-759582A3E92B}" uniqueName="2" name="OPERATOR NAME" queryTableFieldId="2" dataDxfId="14"/>
    <tableColumn id="5" xr3:uid="{9401B264-4438-4ADD-9C9E-230087F8EC3D}" uniqueName="5" name="VDPMVReportOperatorCheck.Operators Name" queryTableFieldId="5" dataDxfId="13"/>
    <tableColumn id="6" xr3:uid="{C7637019-3A1F-4B61-82FC-E68AB4305077}" uniqueName="6" name="VDPMVReportOperatorCheck.PARTNER NAME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E01115-DC5C-456C-9CF1-D6A927DC81CB}" name="Div2PartnerListPR" displayName="Div2PartnerListPR" ref="A1:E6" tableType="queryTable" totalsRowShown="0">
  <autoFilter ref="A1:E6" xr:uid="{08E01115-DC5C-456C-9CF1-D6A927DC81CB}"/>
  <tableColumns count="5">
    <tableColumn id="1" xr3:uid="{F796AAFE-55AB-48F7-9F7F-A8E54ADD75A5}" uniqueName="1" name="PARTNER NAME" queryTableFieldId="1" dataDxfId="12"/>
    <tableColumn id="3" xr3:uid="{E3BEB53E-30C2-49C0-831F-FA69F47D6A67}" uniqueName="3" name="FILE #" queryTableFieldId="3"/>
    <tableColumn id="2" xr3:uid="{01145E20-AA32-4805-9ED6-07B654B57048}" uniqueName="2" name="EMAIL" queryTableFieldId="2" dataDxfId="11"/>
    <tableColumn id="11" xr3:uid="{E2C6E0DF-970A-4E8B-9039-19535AED8ADA}" uniqueName="11" name="CLIENT TYPE" queryTableFieldId="12" dataDxfId="10"/>
    <tableColumn id="12" xr3:uid="{31206D97-8065-467F-AE9D-B8744CB4EA99}" uniqueName="12" name="PartnerSort" queryTableFieldId="1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DF058E-3982-4999-AD80-8E91E4CE4D47}" name="Div2PartnerList" displayName="Div2PartnerList" ref="A1:G59" tableType="queryTable" totalsRowShown="0">
  <autoFilter ref="A1:G59" xr:uid="{7BDF058E-3982-4999-AD80-8E91E4CE4D47}"/>
  <tableColumns count="7">
    <tableColumn id="1" xr3:uid="{73AB47F6-22C8-4731-8CA9-E6ECA292ADE1}" uniqueName="1" name="PARTNER NAME" queryTableFieldId="1" dataDxfId="9"/>
    <tableColumn id="2" xr3:uid="{77D45F60-B84F-4823-BCEB-AADF7DF4E8FF}" uniqueName="2" name="OPERATOR NAME" queryTableFieldId="2" dataDxfId="8"/>
    <tableColumn id="10" xr3:uid="{7139AE2B-99E2-48A3-9846-54856CBB34E3}" uniqueName="10" name="CLIENT TYPE" queryTableFieldId="10" dataDxfId="7"/>
    <tableColumn id="3" xr3:uid="{6F5AA685-9A3B-4069-ACE6-1B0E354F2E59}" uniqueName="3" name="VEHICLE TYPE" queryTableFieldId="3" dataDxfId="6"/>
    <tableColumn id="4" xr3:uid="{99C28A24-DD87-4862-91CB-D428594003AE}" uniqueName="4" name="EMAIL" queryTableFieldId="4" dataDxfId="5"/>
    <tableColumn id="5" xr3:uid="{5650847F-13D6-4666-A3F5-AA69F8F036C9}" uniqueName="5" name="FILE #" queryTableFieldId="5"/>
    <tableColumn id="11" xr3:uid="{2211B347-AF23-43D6-A5F3-EE90AB2FE0FD}" uniqueName="11" name="CLIENT TYPE - Copy" queryTableFieldId="11" dataDxfId="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3D00C6F-8A60-4791-9E8C-B368D1864F11}" name="TollsChecks" displayName="TollsChecks" ref="A1:G2" tableType="queryTable" insertRow="1" totalsRowShown="0">
  <autoFilter ref="A1:G2" xr:uid="{33D00C6F-8A60-4791-9E8C-B368D1864F11}"/>
  <tableColumns count="7">
    <tableColumn id="1" xr3:uid="{3C758CB8-6781-42C8-B777-A11C9BEE78BC}" uniqueName="1" name="StartDate" queryTableFieldId="1" dataDxfId="3"/>
    <tableColumn id="2" xr3:uid="{D841DB5A-BAC4-46C6-945D-3E0F0B044A5D}" uniqueName="2" name="EndDate" queryTableFieldId="2" dataDxfId="2"/>
    <tableColumn id="3" xr3:uid="{8CB2FFFC-4310-4E63-98B9-DE94AA8C94FB}" uniqueName="3" name="Driver Name" queryTableFieldId="3"/>
    <tableColumn id="4" xr3:uid="{08E8BB0B-6A01-47D1-A166-34A4D7FBE2C1}" uniqueName="4" name="Tolls" queryTableFieldId="4"/>
    <tableColumn id="5" xr3:uid="{3786CEAB-CD1C-4D1F-8753-DA3139CCA9C9}" uniqueName="5" name="Week#" queryTableFieldId="5"/>
    <tableColumn id="6" xr3:uid="{91CFEC3D-625E-4683-8A1E-60346C036C90}" uniqueName="6" name="PARTNER NAME" queryTableFieldId="6"/>
    <tableColumn id="7" xr3:uid="{655C74C3-43F2-460A-AF13-CE282970EA7B}" uniqueName="7" name="OPERATOR NAME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849A24-4C68-4AC0-8966-CE6F618A170A}" name="Tolls" displayName="Tolls" ref="A1:G2" tableType="queryTable" insertRow="1" totalsRowShown="0">
  <autoFilter ref="A1:G2" xr:uid="{AC849A24-4C68-4AC0-8966-CE6F618A170A}"/>
  <tableColumns count="7">
    <tableColumn id="1" xr3:uid="{0E0E9AB1-5EBD-43D7-9DEA-B8DA23263238}" uniqueName="1" name="StartDate" queryTableFieldId="1" dataDxfId="1"/>
    <tableColumn id="2" xr3:uid="{A2D4AEC7-B642-47F0-9B4B-1480273E3BB4}" uniqueName="2" name="EndDate" queryTableFieldId="2" dataDxfId="0"/>
    <tableColumn id="3" xr3:uid="{C4F310FD-B6A9-42D5-9252-1988FFF5D669}" uniqueName="3" name="Driver Name" queryTableFieldId="3"/>
    <tableColumn id="4" xr3:uid="{4EFE5F86-74AC-47D3-85C5-4A6C4F5170CC}" uniqueName="4" name="Tolls" queryTableFieldId="4"/>
    <tableColumn id="5" xr3:uid="{1C11CEBC-3AB1-4836-9011-B400D56A66D1}" uniqueName="5" name="Week#" queryTableFieldId="5"/>
    <tableColumn id="6" xr3:uid="{77016B76-03A3-4D6E-9E5C-817E35D80879}" uniqueName="6" name="PARTNER NAME" queryTableFieldId="6"/>
    <tableColumn id="7" xr3:uid="{8B08F3FE-8F6A-4F04-ADCE-48F96BD38804}" uniqueName="7" name="OPERATOR NAME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88F57-671A-4864-A341-8029E7D24571}">
  <sheetPr codeName="Sheet34"/>
  <dimension ref="A3:J5"/>
  <sheetViews>
    <sheetView showGridLines="0" workbookViewId="0">
      <selection activeCell="L12" sqref="L12"/>
    </sheetView>
  </sheetViews>
  <sheetFormatPr defaultColWidth="8.88671875" defaultRowHeight="14.4" x14ac:dyDescent="0.3"/>
  <cols>
    <col min="1" max="16384" width="8.88671875" style="32"/>
  </cols>
  <sheetData>
    <row r="3" spans="1:10" ht="15.6" x14ac:dyDescent="0.3">
      <c r="F3" s="92"/>
    </row>
    <row r="5" spans="1:10" ht="18" x14ac:dyDescent="0.35">
      <c r="A5" s="93" t="s">
        <v>0</v>
      </c>
      <c r="B5" s="93"/>
      <c r="C5" s="93"/>
      <c r="D5" s="93"/>
      <c r="E5" s="93"/>
      <c r="F5" s="93"/>
      <c r="G5" s="93"/>
      <c r="H5" s="93"/>
      <c r="I5" s="93"/>
      <c r="J5" s="9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79B61-2B89-4F11-B4B1-B586960CF2E4}">
  <sheetPr codeName="Sheet1"/>
  <dimension ref="B1:J3"/>
  <sheetViews>
    <sheetView showGridLines="0" workbookViewId="0">
      <selection activeCell="C3" sqref="C3"/>
    </sheetView>
  </sheetViews>
  <sheetFormatPr defaultRowHeight="14.4" x14ac:dyDescent="0.3"/>
  <cols>
    <col min="1" max="1" width="2.33203125" customWidth="1"/>
    <col min="2" max="2" width="18.6640625" customWidth="1"/>
    <col min="3" max="4" width="17" style="61" customWidth="1"/>
    <col min="5" max="5" width="12.33203125" customWidth="1"/>
    <col min="6" max="6" width="19" style="54" bestFit="1" customWidth="1"/>
    <col min="7" max="7" width="17.33203125" style="54" customWidth="1"/>
    <col min="8" max="8" width="19.5546875" style="73" bestFit="1" customWidth="1"/>
    <col min="9" max="10" width="19.5546875" style="54" bestFit="1" customWidth="1"/>
  </cols>
  <sheetData>
    <row r="1" spans="2:10" ht="18" x14ac:dyDescent="0.3">
      <c r="B1" s="59" t="s">
        <v>1</v>
      </c>
      <c r="C1" s="55" t="s">
        <v>2</v>
      </c>
      <c r="D1" s="55" t="s">
        <v>3</v>
      </c>
      <c r="E1" s="55" t="s">
        <v>4</v>
      </c>
      <c r="F1" s="55" t="s">
        <v>5</v>
      </c>
      <c r="G1" s="55" t="s">
        <v>6</v>
      </c>
      <c r="H1" s="72" t="s">
        <v>7</v>
      </c>
      <c r="I1" s="56" t="s">
        <v>8</v>
      </c>
      <c r="J1" s="56" t="s">
        <v>9</v>
      </c>
    </row>
    <row r="2" spans="2:10" ht="18" x14ac:dyDescent="0.3">
      <c r="B2" s="59" t="s">
        <v>11</v>
      </c>
      <c r="C2" s="60">
        <v>45642</v>
      </c>
      <c r="D2" s="60">
        <f>+C2+6</f>
        <v>45648</v>
      </c>
      <c r="E2" s="57" t="s">
        <v>12</v>
      </c>
      <c r="F2" s="58">
        <v>70</v>
      </c>
      <c r="G2" s="58">
        <v>20</v>
      </c>
      <c r="H2" s="72">
        <v>0.7</v>
      </c>
      <c r="I2" s="56">
        <v>0.1</v>
      </c>
      <c r="J2" s="56">
        <v>0.05</v>
      </c>
    </row>
    <row r="3" spans="2:10" ht="18" x14ac:dyDescent="0.3">
      <c r="B3" s="59" t="s">
        <v>11</v>
      </c>
      <c r="C3" s="60">
        <v>45649</v>
      </c>
      <c r="D3" s="60">
        <f>+C3+6</f>
        <v>45655</v>
      </c>
      <c r="E3" s="57" t="s">
        <v>13</v>
      </c>
      <c r="F3" s="58">
        <v>70</v>
      </c>
      <c r="G3" s="58">
        <v>20</v>
      </c>
      <c r="H3" s="72">
        <v>0.7</v>
      </c>
      <c r="I3" s="56">
        <v>0.1</v>
      </c>
      <c r="J3" s="56">
        <v>0.05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0FA3-DC46-4978-A16A-B21295081A52}">
  <sheetPr codeName="Sheet7"/>
  <dimension ref="A1:Q26"/>
  <sheetViews>
    <sheetView workbookViewId="0">
      <selection activeCell="J27" sqref="J27"/>
    </sheetView>
  </sheetViews>
  <sheetFormatPr defaultRowHeight="14.4" x14ac:dyDescent="0.3"/>
  <cols>
    <col min="1" max="1" width="33.88671875" bestFit="1" customWidth="1"/>
    <col min="2" max="2" width="7.6640625" bestFit="1" customWidth="1"/>
    <col min="3" max="3" width="16.5546875" bestFit="1" customWidth="1"/>
    <col min="4" max="4" width="12" bestFit="1" customWidth="1"/>
    <col min="5" max="5" width="18.44140625" bestFit="1" customWidth="1"/>
    <col min="6" max="6" width="13.44140625" bestFit="1" customWidth="1"/>
    <col min="7" max="7" width="11.44140625" bestFit="1" customWidth="1"/>
    <col min="8" max="8" width="15.5546875" bestFit="1" customWidth="1"/>
    <col min="9" max="9" width="8.6640625" bestFit="1" customWidth="1"/>
    <col min="10" max="10" width="17.6640625" bestFit="1" customWidth="1"/>
    <col min="11" max="11" width="7.44140625" bestFit="1" customWidth="1"/>
    <col min="12" max="12" width="16.6640625" bestFit="1" customWidth="1"/>
    <col min="13" max="13" width="16.5546875" bestFit="1" customWidth="1"/>
    <col min="14" max="14" width="19" bestFit="1" customWidth="1"/>
    <col min="15" max="15" width="18.5546875" bestFit="1" customWidth="1"/>
    <col min="16" max="16" width="13.44140625" bestFit="1" customWidth="1"/>
    <col min="17" max="17" width="16.44140625" bestFit="1" customWidth="1"/>
    <col min="18" max="18" width="13.44140625" bestFit="1" customWidth="1"/>
    <col min="19" max="19" width="16.44140625" bestFit="1" customWidth="1"/>
    <col min="20" max="20" width="14.109375" bestFit="1" customWidth="1"/>
    <col min="21" max="21" width="16.44140625" bestFit="1" customWidth="1"/>
    <col min="22" max="22" width="16.44140625" customWidth="1"/>
    <col min="23" max="23" width="8.44140625" bestFit="1" customWidth="1"/>
    <col min="24" max="24" width="17.109375" bestFit="1" customWidth="1"/>
  </cols>
  <sheetData>
    <row r="1" spans="1:17" x14ac:dyDescent="0.3">
      <c r="A1" t="s">
        <v>14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27</v>
      </c>
      <c r="O1" t="s">
        <v>28</v>
      </c>
      <c r="P1" t="s">
        <v>29</v>
      </c>
      <c r="Q1" t="s">
        <v>30</v>
      </c>
    </row>
    <row r="2" spans="1:17" x14ac:dyDescent="0.3">
      <c r="A2" t="s">
        <v>31</v>
      </c>
      <c r="B2" t="s">
        <v>32</v>
      </c>
      <c r="C2">
        <v>315</v>
      </c>
      <c r="D2">
        <v>0</v>
      </c>
      <c r="E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 t="s">
        <v>33</v>
      </c>
      <c r="Q2">
        <v>0</v>
      </c>
    </row>
    <row r="3" spans="1:17" x14ac:dyDescent="0.3">
      <c r="A3" t="s">
        <v>34</v>
      </c>
      <c r="B3" t="s">
        <v>35</v>
      </c>
      <c r="C3">
        <v>309</v>
      </c>
      <c r="D3">
        <v>2</v>
      </c>
      <c r="E3">
        <v>618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 t="s">
        <v>36</v>
      </c>
      <c r="P3">
        <v>0</v>
      </c>
      <c r="Q3">
        <v>0</v>
      </c>
    </row>
    <row r="4" spans="1:17" x14ac:dyDescent="0.3">
      <c r="A4" t="s">
        <v>37</v>
      </c>
      <c r="B4" t="s">
        <v>38</v>
      </c>
      <c r="C4">
        <v>307</v>
      </c>
      <c r="D4">
        <v>0</v>
      </c>
      <c r="E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 t="s">
        <v>36</v>
      </c>
      <c r="P4">
        <v>2</v>
      </c>
      <c r="Q4">
        <v>0</v>
      </c>
    </row>
    <row r="5" spans="1:17" x14ac:dyDescent="0.3">
      <c r="A5" t="s">
        <v>37</v>
      </c>
      <c r="B5" t="s">
        <v>39</v>
      </c>
      <c r="C5">
        <v>309</v>
      </c>
      <c r="D5">
        <v>2</v>
      </c>
      <c r="E5">
        <v>618</v>
      </c>
      <c r="G5">
        <v>95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 t="s">
        <v>36</v>
      </c>
      <c r="P5">
        <v>2</v>
      </c>
      <c r="Q5">
        <v>95</v>
      </c>
    </row>
    <row r="6" spans="1:17" x14ac:dyDescent="0.3">
      <c r="A6" t="s">
        <v>37</v>
      </c>
      <c r="B6" t="s">
        <v>40</v>
      </c>
      <c r="C6">
        <v>309</v>
      </c>
      <c r="D6">
        <v>2</v>
      </c>
      <c r="E6">
        <v>618</v>
      </c>
      <c r="G6">
        <v>500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 t="s">
        <v>36</v>
      </c>
      <c r="P6">
        <v>2</v>
      </c>
      <c r="Q6">
        <v>500</v>
      </c>
    </row>
    <row r="7" spans="1:17" x14ac:dyDescent="0.3">
      <c r="A7" t="s">
        <v>41</v>
      </c>
      <c r="B7" t="s">
        <v>42</v>
      </c>
      <c r="C7">
        <v>309</v>
      </c>
      <c r="D7">
        <v>0</v>
      </c>
      <c r="E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 t="s">
        <v>36</v>
      </c>
      <c r="Q7">
        <v>0</v>
      </c>
    </row>
    <row r="8" spans="1:17" x14ac:dyDescent="0.3">
      <c r="A8" t="s">
        <v>37</v>
      </c>
      <c r="B8" t="s">
        <v>43</v>
      </c>
      <c r="C8">
        <v>315</v>
      </c>
      <c r="D8">
        <v>0</v>
      </c>
      <c r="E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 t="s">
        <v>33</v>
      </c>
      <c r="P8">
        <v>2</v>
      </c>
      <c r="Q8">
        <v>0</v>
      </c>
    </row>
    <row r="9" spans="1:17" x14ac:dyDescent="0.3">
      <c r="A9" t="s">
        <v>44</v>
      </c>
      <c r="B9" t="s">
        <v>45</v>
      </c>
      <c r="C9">
        <v>309</v>
      </c>
      <c r="D9">
        <v>2</v>
      </c>
      <c r="E9">
        <v>618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 t="s">
        <v>36</v>
      </c>
      <c r="P9">
        <v>2</v>
      </c>
      <c r="Q9">
        <v>0</v>
      </c>
    </row>
    <row r="10" spans="1:17" x14ac:dyDescent="0.3">
      <c r="A10" t="s">
        <v>46</v>
      </c>
      <c r="B10" t="s">
        <v>47</v>
      </c>
      <c r="C10">
        <v>296</v>
      </c>
      <c r="D10">
        <v>0</v>
      </c>
      <c r="E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 t="s">
        <v>33</v>
      </c>
      <c r="Q10">
        <v>0</v>
      </c>
    </row>
    <row r="11" spans="1:17" x14ac:dyDescent="0.3">
      <c r="A11" t="s">
        <v>48</v>
      </c>
      <c r="B11" t="s">
        <v>49</v>
      </c>
      <c r="C11">
        <v>307</v>
      </c>
      <c r="D11">
        <v>2</v>
      </c>
      <c r="E11">
        <v>614</v>
      </c>
      <c r="G11">
        <v>130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 t="s">
        <v>36</v>
      </c>
      <c r="P11">
        <v>1</v>
      </c>
      <c r="Q11">
        <v>130</v>
      </c>
    </row>
    <row r="12" spans="1:17" x14ac:dyDescent="0.3">
      <c r="A12" t="s">
        <v>48</v>
      </c>
      <c r="B12" t="s">
        <v>50</v>
      </c>
      <c r="C12">
        <v>307</v>
      </c>
      <c r="D12">
        <v>0</v>
      </c>
      <c r="E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 t="s">
        <v>36</v>
      </c>
      <c r="P12">
        <v>1</v>
      </c>
      <c r="Q12">
        <v>0</v>
      </c>
    </row>
    <row r="13" spans="1:17" x14ac:dyDescent="0.3">
      <c r="A13" t="s">
        <v>48</v>
      </c>
      <c r="B13" t="s">
        <v>51</v>
      </c>
      <c r="C13">
        <v>307</v>
      </c>
      <c r="D13">
        <v>2</v>
      </c>
      <c r="E13">
        <v>614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 t="s">
        <v>36</v>
      </c>
      <c r="P13">
        <v>1</v>
      </c>
      <c r="Q13">
        <v>0</v>
      </c>
    </row>
    <row r="14" spans="1:17" x14ac:dyDescent="0.3">
      <c r="A14" t="s">
        <v>48</v>
      </c>
      <c r="B14" t="s">
        <v>52</v>
      </c>
      <c r="C14">
        <v>296</v>
      </c>
      <c r="D14">
        <v>0</v>
      </c>
      <c r="E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t="s">
        <v>33</v>
      </c>
      <c r="P14">
        <v>1</v>
      </c>
      <c r="Q14">
        <v>0</v>
      </c>
    </row>
    <row r="15" spans="1:17" x14ac:dyDescent="0.3">
      <c r="A15" t="s">
        <v>53</v>
      </c>
      <c r="B15" t="s">
        <v>54</v>
      </c>
      <c r="C15">
        <v>315</v>
      </c>
      <c r="D15">
        <v>0</v>
      </c>
      <c r="E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 t="s">
        <v>33</v>
      </c>
      <c r="Q15">
        <v>0</v>
      </c>
    </row>
    <row r="16" spans="1:17" x14ac:dyDescent="0.3">
      <c r="A16" t="s">
        <v>55</v>
      </c>
      <c r="B16" t="s">
        <v>56</v>
      </c>
      <c r="C16">
        <v>296</v>
      </c>
      <c r="D16">
        <v>0</v>
      </c>
      <c r="E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 t="s">
        <v>33</v>
      </c>
      <c r="Q16">
        <v>0</v>
      </c>
    </row>
    <row r="17" spans="1:17" x14ac:dyDescent="0.3">
      <c r="A17" t="s">
        <v>57</v>
      </c>
      <c r="C17">
        <v>315</v>
      </c>
      <c r="D17">
        <v>0</v>
      </c>
      <c r="E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 t="s">
        <v>33</v>
      </c>
      <c r="Q17">
        <v>0</v>
      </c>
    </row>
    <row r="18" spans="1:17" x14ac:dyDescent="0.3">
      <c r="A18" t="s">
        <v>58</v>
      </c>
      <c r="B18" t="s">
        <v>59</v>
      </c>
      <c r="C18">
        <v>315</v>
      </c>
      <c r="D18">
        <v>0</v>
      </c>
      <c r="E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 t="s">
        <v>33</v>
      </c>
      <c r="Q18">
        <v>0</v>
      </c>
    </row>
    <row r="19" spans="1:17" x14ac:dyDescent="0.3">
      <c r="A19" t="s">
        <v>60</v>
      </c>
      <c r="C19">
        <v>315</v>
      </c>
      <c r="D19">
        <v>0</v>
      </c>
      <c r="E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 t="s">
        <v>33</v>
      </c>
      <c r="Q19">
        <v>0</v>
      </c>
    </row>
    <row r="20" spans="1:17" x14ac:dyDescent="0.3">
      <c r="A20" t="s">
        <v>61</v>
      </c>
      <c r="B20" t="s">
        <v>62</v>
      </c>
      <c r="C20">
        <v>315</v>
      </c>
      <c r="D20">
        <v>0</v>
      </c>
      <c r="E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 t="s">
        <v>33</v>
      </c>
      <c r="Q20">
        <v>0</v>
      </c>
    </row>
    <row r="21" spans="1:17" x14ac:dyDescent="0.3">
      <c r="A21" t="s">
        <v>63</v>
      </c>
      <c r="B21" t="s">
        <v>64</v>
      </c>
      <c r="C21">
        <v>296</v>
      </c>
      <c r="D21">
        <v>0</v>
      </c>
      <c r="E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 t="s">
        <v>33</v>
      </c>
      <c r="Q21">
        <v>0</v>
      </c>
    </row>
    <row r="22" spans="1:17" x14ac:dyDescent="0.3">
      <c r="A22" t="s">
        <v>65</v>
      </c>
      <c r="B22" t="s">
        <v>66</v>
      </c>
      <c r="C22">
        <v>307</v>
      </c>
      <c r="D22">
        <v>1.5</v>
      </c>
      <c r="E22">
        <v>460.5</v>
      </c>
      <c r="G22">
        <v>95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 t="s">
        <v>36</v>
      </c>
      <c r="P22">
        <v>2</v>
      </c>
      <c r="Q22">
        <v>95</v>
      </c>
    </row>
    <row r="23" spans="1:17" x14ac:dyDescent="0.3">
      <c r="A23" t="s">
        <v>65</v>
      </c>
      <c r="B23" t="s">
        <v>67</v>
      </c>
      <c r="C23">
        <v>315</v>
      </c>
      <c r="D23">
        <v>0</v>
      </c>
      <c r="E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 t="s">
        <v>33</v>
      </c>
      <c r="P23">
        <v>2</v>
      </c>
      <c r="Q23">
        <v>0</v>
      </c>
    </row>
    <row r="24" spans="1:17" x14ac:dyDescent="0.3">
      <c r="A24" t="s">
        <v>65</v>
      </c>
      <c r="B24" t="s">
        <v>68</v>
      </c>
      <c r="C24">
        <v>315</v>
      </c>
      <c r="D24">
        <v>0</v>
      </c>
      <c r="E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 t="s">
        <v>33</v>
      </c>
      <c r="P24">
        <v>2</v>
      </c>
      <c r="Q24">
        <v>0</v>
      </c>
    </row>
    <row r="25" spans="1:17" x14ac:dyDescent="0.3">
      <c r="A25" t="s">
        <v>65</v>
      </c>
      <c r="C25">
        <v>315</v>
      </c>
      <c r="D25">
        <v>0</v>
      </c>
      <c r="E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 t="s">
        <v>33</v>
      </c>
      <c r="P25">
        <v>2</v>
      </c>
      <c r="Q25">
        <v>0</v>
      </c>
    </row>
    <row r="26" spans="1:17" x14ac:dyDescent="0.3">
      <c r="A26" t="s">
        <v>69</v>
      </c>
      <c r="B26" t="s">
        <v>70</v>
      </c>
      <c r="C26">
        <v>315</v>
      </c>
      <c r="D26">
        <v>0</v>
      </c>
      <c r="E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 t="s">
        <v>33</v>
      </c>
      <c r="Q2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FAF9-8A72-4C1D-A7AE-518845C793AC}">
  <sheetPr codeName="Sheet10"/>
  <dimension ref="A1:U30"/>
  <sheetViews>
    <sheetView showGridLines="0" zoomScaleNormal="100" workbookViewId="0">
      <pane ySplit="4" topLeftCell="A5" activePane="bottomLeft" state="frozen"/>
      <selection pane="bottomLeft" activeCell="G24" sqref="G24"/>
    </sheetView>
  </sheetViews>
  <sheetFormatPr defaultColWidth="9.33203125" defaultRowHeight="15" customHeight="1" x14ac:dyDescent="0.3"/>
  <cols>
    <col min="1" max="1" width="32.6640625" style="46" bestFit="1" customWidth="1"/>
    <col min="2" max="2" width="6.6640625" style="53" bestFit="1" customWidth="1"/>
    <col min="3" max="3" width="32.33203125" style="32" customWidth="1"/>
    <col min="4" max="4" width="13.33203125" style="32" customWidth="1"/>
    <col min="5" max="5" width="16.33203125" style="32" bestFit="1" customWidth="1"/>
    <col min="6" max="8" width="13.33203125" style="32" customWidth="1"/>
    <col min="9" max="9" width="14.5546875" style="32" customWidth="1"/>
    <col min="10" max="10" width="13.6640625" style="32" bestFit="1" customWidth="1"/>
    <col min="11" max="11" width="13.44140625" style="32" bestFit="1" customWidth="1"/>
    <col min="12" max="14" width="13.44140625" style="32" customWidth="1"/>
    <col min="15" max="15" width="14" style="32" bestFit="1" customWidth="1"/>
    <col min="16" max="16" width="15.6640625" style="32" bestFit="1" customWidth="1"/>
    <col min="17" max="17" width="17.44140625" style="33" customWidth="1"/>
    <col min="18" max="19" width="0" style="32" hidden="1" customWidth="1"/>
    <col min="20" max="16384" width="9.33203125" style="32"/>
  </cols>
  <sheetData>
    <row r="1" spans="1:21" ht="15.6" x14ac:dyDescent="0.3">
      <c r="A1" s="30" t="s">
        <v>324</v>
      </c>
      <c r="B1" s="31"/>
      <c r="C1" s="31"/>
    </row>
    <row r="2" spans="1:21" ht="18" x14ac:dyDescent="0.35">
      <c r="A2" s="30"/>
      <c r="B2" s="31"/>
      <c r="C2" s="31"/>
      <c r="D2" s="100" t="s">
        <v>71</v>
      </c>
      <c r="E2" s="100"/>
      <c r="F2" s="100"/>
      <c r="G2" s="100"/>
      <c r="H2" s="100"/>
      <c r="I2" s="100"/>
      <c r="J2" s="101" t="s">
        <v>72</v>
      </c>
      <c r="K2" s="101"/>
      <c r="L2" s="101"/>
      <c r="M2" s="101"/>
      <c r="N2" s="101"/>
      <c r="O2" s="101"/>
      <c r="P2" s="101"/>
    </row>
    <row r="3" spans="1:21" ht="15.6" x14ac:dyDescent="0.3">
      <c r="A3" s="30"/>
      <c r="B3" s="31"/>
      <c r="C3" s="31"/>
      <c r="D3" s="103" t="s">
        <v>73</v>
      </c>
      <c r="E3" s="103"/>
      <c r="F3" s="103" t="s">
        <v>74</v>
      </c>
      <c r="G3" s="103"/>
      <c r="H3" s="103"/>
      <c r="I3" s="103"/>
      <c r="J3" s="35"/>
      <c r="O3" s="35"/>
      <c r="P3" s="35"/>
      <c r="Q3" s="36" t="s">
        <v>75</v>
      </c>
    </row>
    <row r="4" spans="1:21" s="34" customFormat="1" thickBot="1" x14ac:dyDescent="0.35">
      <c r="A4" s="37" t="s">
        <v>76</v>
      </c>
      <c r="B4" s="38" t="s">
        <v>77</v>
      </c>
      <c r="C4" s="38" t="s">
        <v>78</v>
      </c>
      <c r="D4" s="38" t="s">
        <v>79</v>
      </c>
      <c r="E4" s="38" t="s">
        <v>80</v>
      </c>
      <c r="F4" s="38" t="s">
        <v>81</v>
      </c>
      <c r="G4" s="38" t="s">
        <v>82</v>
      </c>
      <c r="H4" s="38" t="s">
        <v>22</v>
      </c>
      <c r="I4" s="38" t="s">
        <v>83</v>
      </c>
      <c r="J4" s="38" t="s">
        <v>84</v>
      </c>
      <c r="K4" s="38" t="s">
        <v>85</v>
      </c>
      <c r="L4" s="38" t="s">
        <v>24</v>
      </c>
      <c r="M4" s="38" t="s">
        <v>25</v>
      </c>
      <c r="N4" s="38" t="s">
        <v>26</v>
      </c>
      <c r="O4" s="38" t="s">
        <v>20</v>
      </c>
      <c r="P4" s="38" t="s">
        <v>86</v>
      </c>
      <c r="Q4" s="39" t="s">
        <v>87</v>
      </c>
    </row>
    <row r="5" spans="1:21" ht="24" thickTop="1" x14ac:dyDescent="0.45">
      <c r="A5" s="102" t="s">
        <v>36</v>
      </c>
      <c r="B5" s="102"/>
      <c r="C5" s="102"/>
      <c r="D5" s="102"/>
      <c r="E5" s="102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</row>
    <row r="6" spans="1:21" ht="14.4" x14ac:dyDescent="0.3">
      <c r="A6" s="46" t="str" cm="1">
        <f t="array" ref="A6:C10">_xlfn._xlws.FILTER(_xlfn.UNIQUE(Div2PartnerListPR[[PARTNER NAME]:[EMAIL]]),((Div2PartnerListPR[PartnerSort]=0)+(Div2PartnerListPR[PartnerSort]=2)),"No First Trip Partner")</f>
        <v>DIRECT TRANSIT LLC</v>
      </c>
      <c r="B6" s="53">
        <v>2338</v>
      </c>
      <c r="C6" s="40" t="str">
        <v>marlon@direct-transit.com</v>
      </c>
      <c r="D6" s="41">
        <f>IFERROR(SUMIF(SumVDPMVReport[PARTNER NAME],$A6,SumVDPMVReport[Total Rev]),0)</f>
        <v>14843.349999999999</v>
      </c>
      <c r="E6" s="41"/>
      <c r="F6" s="41">
        <f>IFERROR(SUMIF(SumVDPMVReport[PARTNER NAME],$A6,#REF!),0)</f>
        <v>0</v>
      </c>
      <c r="G6" s="42" cm="1">
        <f t="array" ref="G6">SUM(_xlfn._xlws.FILTER(Deduction_and_other_Revenue[Other Income],((Deduction_and_other_Revenue[TYPE]=$A$5)*(Deduction_and_other_Revenue[PARTNER]=$A6)),0))</f>
        <v>0</v>
      </c>
      <c r="H6" s="41" cm="1">
        <f t="array" ref="H6">SUM(_xlfn._xlws.FILTER(Deduction_and_other_Revenue[Bonus],((Deduction_and_other_Revenue[TYPE]=$A$5)*(Deduction_and_other_Revenue[PARTNER]=$A6)),0))</f>
        <v>0</v>
      </c>
      <c r="I6" s="42" cm="1">
        <f t="array" ref="I6">SUM(_xlfn._xlws.FILTER(Deduction_and_other_Revenue[Reimbursement],((Deduction_and_other_Revenue[TYPE]=$A$5)*(Deduction_and_other_Revenue[PARTNER]=$A6)),0))</f>
        <v>0</v>
      </c>
      <c r="J6" s="41" cm="1">
        <f t="array" ref="J6">SUM(_xlfn._xlws.FILTER(Deduction_and_other_Revenue[Credentials],((Deduction_and_other_Revenue[TYPE]=$A$5)*(Deduction_and_other_Revenue[PARTNER]=$A6)),0))</f>
        <v>0</v>
      </c>
      <c r="K6" s="43" cm="1">
        <f t="array" ref="K6">SUM(_xlfn._xlws.FILTER(Deduction_and_other_Revenue[LIFT LEASE TOTAL],((Deduction_and_other_Revenue[TYPE]=$A$5)*(Deduction_and_other_Revenue[PARTNER]=$A6)),0))</f>
        <v>1228</v>
      </c>
      <c r="L6" s="43" cm="1">
        <f t="array" ref="L6">SUM(_xlfn._xlws.FILTER(Deduction_and_other_Revenue[Tolls],((Deduction_and_other_Revenue[TYPE]=$A$5)*(Deduction_and_other_Revenue[PARTNER]=$A6)),0))</f>
        <v>0</v>
      </c>
      <c r="M6" s="43" cm="1">
        <f t="array" ref="M6">SUM(_xlfn._xlws.FILTER(Deduction_and_other_Revenue[Camera Tickets],((Deduction_and_other_Revenue[TYPE]=$A$5)*(Deduction_and_other_Revenue[PARTNER]=$A6)),0))</f>
        <v>0</v>
      </c>
      <c r="N6" s="43" cm="1">
        <f t="array" ref="N6">SUM(_xlfn._xlws.FILTER(Deduction_and_other_Revenue[Parking Tickets],((Deduction_and_other_Revenue[TYPE]=$A$5)*(Deduction_and_other_Revenue[PARTNER]=$A6)),0))</f>
        <v>0</v>
      </c>
      <c r="O6" s="41" cm="1">
        <f t="array" ref="O6">SUM(_xlfn._xlws.FILTER(Deduction_and_other_Revenue[Violation],((Deduction_and_other_Revenue[TYPE]=$A$5)*(Deduction_and_other_Revenue[PARTNER]=$A6)),0))</f>
        <v>130</v>
      </c>
      <c r="P6" s="41" cm="1">
        <f t="array" ref="P6">SUM(_xlfn._xlws.FILTER(Deduction_and_other_Revenue[Other Deductions],((Deduction_and_other_Revenue[TYPE]=$A$5)*(Deduction_and_other_Revenue[PARTNER]=$A6)),0))</f>
        <v>0</v>
      </c>
      <c r="Q6" s="44">
        <f>IFERROR(SUM(D6:I6)-SUM(J6:P6),0)</f>
        <v>13485.349999999999</v>
      </c>
      <c r="U6" s="89"/>
    </row>
    <row r="7" spans="1:21" ht="14.4" x14ac:dyDescent="0.3">
      <c r="A7" s="46" t="str">
        <v>Q-TELL TRANSIT LLC</v>
      </c>
      <c r="B7" s="53">
        <v>2302</v>
      </c>
      <c r="C7" s="40" t="str">
        <v>qtelltransit@gmail.com</v>
      </c>
      <c r="D7" s="41">
        <f>IFERROR(SUMIF(SumVDPMVReport[PARTNER NAME],$A7,SumVDPMVReport[Total Rev]),0)</f>
        <v>6237.4575000000004</v>
      </c>
      <c r="E7" s="41"/>
      <c r="F7" s="41">
        <f>IFERROR(SUMIF(SumVDPMVReport[PARTNER NAME],$A7,#REF!),0)</f>
        <v>0</v>
      </c>
      <c r="G7" s="42" cm="1">
        <f t="array" ref="G7">SUM(_xlfn._xlws.FILTER(Deduction_and_other_Revenue[Other Income],((Deduction_and_other_Revenue[TYPE]=$A$5)*(Deduction_and_other_Revenue[PARTNER]=$A7)),0))</f>
        <v>0</v>
      </c>
      <c r="H7" s="41" cm="1">
        <f t="array" ref="H7">SUM(_xlfn._xlws.FILTER(Deduction_and_other_Revenue[Bonus],((Deduction_and_other_Revenue[TYPE]=$A$5)*(Deduction_and_other_Revenue[PARTNER]=$A7)),0))</f>
        <v>0</v>
      </c>
      <c r="I7" s="42" cm="1">
        <f t="array" ref="I7">SUM(_xlfn._xlws.FILTER(Deduction_and_other_Revenue[Reimbursement],((Deduction_and_other_Revenue[TYPE]=$A$5)*(Deduction_and_other_Revenue[PARTNER]=$A7)),0))</f>
        <v>0</v>
      </c>
      <c r="J7" s="41" cm="1">
        <f t="array" ref="J7">SUM(_xlfn._xlws.FILTER(Deduction_and_other_Revenue[Credentials],((Deduction_and_other_Revenue[TYPE]=$A$5)*(Deduction_and_other_Revenue[PARTNER]=$A7)),0))</f>
        <v>0</v>
      </c>
      <c r="K7" s="43" cm="1">
        <f t="array" ref="K7">SUM(_xlfn._xlws.FILTER(Deduction_and_other_Revenue[LIFT LEASE TOTAL],((Deduction_and_other_Revenue[TYPE]=$A$5)*(Deduction_and_other_Revenue[PARTNER]=$A7)),0))</f>
        <v>460.5</v>
      </c>
      <c r="L7" s="43" cm="1">
        <f t="array" ref="L7">SUM(_xlfn._xlws.FILTER(Deduction_and_other_Revenue[Tolls],((Deduction_and_other_Revenue[TYPE]=$A$5)*(Deduction_and_other_Revenue[PARTNER]=$A7)),0))</f>
        <v>0</v>
      </c>
      <c r="M7" s="43" cm="1">
        <f t="array" ref="M7">SUM(_xlfn._xlws.FILTER(Deduction_and_other_Revenue[Camera Tickets],((Deduction_and_other_Revenue[TYPE]=$A$5)*(Deduction_and_other_Revenue[PARTNER]=$A7)),0))</f>
        <v>0</v>
      </c>
      <c r="N7" s="43" cm="1">
        <f t="array" ref="N7">SUM(_xlfn._xlws.FILTER(Deduction_and_other_Revenue[Parking Tickets],((Deduction_and_other_Revenue[TYPE]=$A$5)*(Deduction_and_other_Revenue[PARTNER]=$A7)),0))</f>
        <v>0</v>
      </c>
      <c r="O7" s="41" cm="1">
        <f t="array" ref="O7">SUM(_xlfn._xlws.FILTER(Deduction_and_other_Revenue[Violation],((Deduction_and_other_Revenue[TYPE]=$A$5)*(Deduction_and_other_Revenue[PARTNER]=$A7)),0))</f>
        <v>95</v>
      </c>
      <c r="P7" s="41" cm="1">
        <f t="array" ref="P7">SUM(_xlfn._xlws.FILTER(Deduction_and_other_Revenue[Other Deductions],((Deduction_and_other_Revenue[TYPE]=$A$5)*(Deduction_and_other_Revenue[PARTNER]=$A7)),0))</f>
        <v>0</v>
      </c>
      <c r="Q7" s="44">
        <f t="shared" ref="Q7:Q13" si="0">IFERROR(SUM(D7:I7)-SUM(J7:P7),0)</f>
        <v>5681.9575000000004</v>
      </c>
      <c r="U7" s="89"/>
    </row>
    <row r="8" spans="1:21" ht="14.4" x14ac:dyDescent="0.3">
      <c r="A8" s="46" t="str">
        <v>CIRCLE TRANSIT</v>
      </c>
      <c r="B8" s="53">
        <v>2313</v>
      </c>
      <c r="C8" s="40" t="str">
        <v>circletransit1@gmail.com</v>
      </c>
      <c r="D8" s="41">
        <f>IFERROR(SUMIF(SumVDPMVReport[PARTNER NAME],$A8,SumVDPMVReport[Total Rev]),0)</f>
        <v>13893.259999999998</v>
      </c>
      <c r="E8" s="41"/>
      <c r="F8" s="41">
        <f>IFERROR(SUMIF(SumVDPMVReport[PARTNER NAME],$A8,#REF!),0)</f>
        <v>0</v>
      </c>
      <c r="G8" s="42" cm="1">
        <f t="array" ref="G8">SUM(_xlfn._xlws.FILTER(Deduction_and_other_Revenue[Other Income],((Deduction_and_other_Revenue[TYPE]=$A$5)*(Deduction_and_other_Revenue[PARTNER]=$A8)),0))</f>
        <v>0</v>
      </c>
      <c r="H8" s="41" cm="1">
        <f t="array" ref="H8">SUM(_xlfn._xlws.FILTER(Deduction_and_other_Revenue[Bonus],((Deduction_and_other_Revenue[TYPE]=$A$5)*(Deduction_and_other_Revenue[PARTNER]=$A8)),0))</f>
        <v>0</v>
      </c>
      <c r="I8" s="42" cm="1">
        <f t="array" ref="I8">SUM(_xlfn._xlws.FILTER(Deduction_and_other_Revenue[Reimbursement],((Deduction_and_other_Revenue[TYPE]=$A$5)*(Deduction_and_other_Revenue[PARTNER]=$A8)),0))</f>
        <v>0</v>
      </c>
      <c r="J8" s="41" cm="1">
        <f t="array" ref="J8">SUM(_xlfn._xlws.FILTER(Deduction_and_other_Revenue[Credentials],((Deduction_and_other_Revenue[TYPE]=$A$5)*(Deduction_and_other_Revenue[PARTNER]=$A8)),0))</f>
        <v>0</v>
      </c>
      <c r="K8" s="43" cm="1">
        <f t="array" ref="K8">SUM(_xlfn._xlws.FILTER(Deduction_and_other_Revenue[LIFT LEASE TOTAL],((Deduction_and_other_Revenue[TYPE]=$A$5)*(Deduction_and_other_Revenue[PARTNER]=$A8)),0))</f>
        <v>1236</v>
      </c>
      <c r="L8" s="43" cm="1">
        <f t="array" ref="L8">SUM(_xlfn._xlws.FILTER(Deduction_and_other_Revenue[Tolls],((Deduction_and_other_Revenue[TYPE]=$A$5)*(Deduction_and_other_Revenue[PARTNER]=$A8)),0))</f>
        <v>0</v>
      </c>
      <c r="M8" s="43" cm="1">
        <f t="array" ref="M8">SUM(_xlfn._xlws.FILTER(Deduction_and_other_Revenue[Camera Tickets],((Deduction_and_other_Revenue[TYPE]=$A$5)*(Deduction_and_other_Revenue[PARTNER]=$A8)),0))</f>
        <v>0</v>
      </c>
      <c r="N8" s="43" cm="1">
        <f t="array" ref="N8">SUM(_xlfn._xlws.FILTER(Deduction_and_other_Revenue[Parking Tickets],((Deduction_and_other_Revenue[TYPE]=$A$5)*(Deduction_and_other_Revenue[PARTNER]=$A8)),0))</f>
        <v>0</v>
      </c>
      <c r="O8" s="41" cm="1">
        <f t="array" ref="O8">SUM(_xlfn._xlws.FILTER(Deduction_and_other_Revenue[Violation],((Deduction_and_other_Revenue[TYPE]=$A$5)*(Deduction_and_other_Revenue[PARTNER]=$A8)),0))</f>
        <v>595</v>
      </c>
      <c r="P8" s="41" cm="1">
        <f t="array" ref="P8">SUM(_xlfn._xlws.FILTER(Deduction_and_other_Revenue[Other Deductions],((Deduction_and_other_Revenue[TYPE]=$A$5)*(Deduction_and_other_Revenue[PARTNER]=$A8)),0))</f>
        <v>0</v>
      </c>
      <c r="Q8" s="44">
        <f t="shared" si="0"/>
        <v>12062.259999999998</v>
      </c>
      <c r="U8" s="89"/>
    </row>
    <row r="9" spans="1:21" ht="14.4" x14ac:dyDescent="0.3">
      <c r="A9" s="46" t="str">
        <v>DEAN LOGISTICS SOLUTIONS LLC</v>
      </c>
      <c r="B9" s="53">
        <v>2555</v>
      </c>
      <c r="C9" s="40" t="str">
        <v>info@deanlogisticssolutions.com</v>
      </c>
      <c r="D9" s="41">
        <f>IFERROR(SUMIF(SumVDPMVReport[PARTNER NAME],$A9,SumVDPMVReport[Total Rev]),0)</f>
        <v>1852.1599999999999</v>
      </c>
      <c r="E9" s="41"/>
      <c r="F9" s="41">
        <f>IFERROR(SUMIF(SumVDPMVReport[PARTNER NAME],$A9,#REF!),0)</f>
        <v>0</v>
      </c>
      <c r="G9" s="42" cm="1">
        <f t="array" ref="G9">SUM(_xlfn._xlws.FILTER(Deduction_and_other_Revenue[Other Income],((Deduction_and_other_Revenue[TYPE]=$A$5)*(Deduction_and_other_Revenue[PARTNER]=$A9)),0))</f>
        <v>0</v>
      </c>
      <c r="H9" s="41" cm="1">
        <f t="array" ref="H9">SUM(_xlfn._xlws.FILTER(Deduction_and_other_Revenue[Bonus],((Deduction_and_other_Revenue[TYPE]=$A$5)*(Deduction_and_other_Revenue[PARTNER]=$A9)),0))</f>
        <v>0</v>
      </c>
      <c r="I9" s="42" cm="1">
        <f t="array" ref="I9">SUM(_xlfn._xlws.FILTER(Deduction_and_other_Revenue[Reimbursement],((Deduction_and_other_Revenue[TYPE]=$A$5)*(Deduction_and_other_Revenue[PARTNER]=$A9)),0))</f>
        <v>0</v>
      </c>
      <c r="J9" s="41" cm="1">
        <f t="array" ref="J9">SUM(_xlfn._xlws.FILTER(Deduction_and_other_Revenue[Credentials],((Deduction_and_other_Revenue[TYPE]=$A$5)*(Deduction_and_other_Revenue[PARTNER]=$A9)),0))</f>
        <v>0</v>
      </c>
      <c r="K9" s="43" cm="1">
        <f t="array" ref="K9">SUM(_xlfn._xlws.FILTER(Deduction_and_other_Revenue[LIFT LEASE TOTAL],((Deduction_and_other_Revenue[TYPE]=$A$5)*(Deduction_and_other_Revenue[PARTNER]=$A9)),0))</f>
        <v>618</v>
      </c>
      <c r="L9" s="43" cm="1">
        <f t="array" ref="L9">SUM(_xlfn._xlws.FILTER(Deduction_and_other_Revenue[Tolls],((Deduction_and_other_Revenue[TYPE]=$A$5)*(Deduction_and_other_Revenue[PARTNER]=$A9)),0))</f>
        <v>0</v>
      </c>
      <c r="M9" s="43" cm="1">
        <f t="array" ref="M9">SUM(_xlfn._xlws.FILTER(Deduction_and_other_Revenue[Camera Tickets],((Deduction_and_other_Revenue[TYPE]=$A$5)*(Deduction_and_other_Revenue[PARTNER]=$A9)),0))</f>
        <v>0</v>
      </c>
      <c r="N9" s="43" cm="1">
        <f t="array" ref="N9">SUM(_xlfn._xlws.FILTER(Deduction_and_other_Revenue[Parking Tickets],((Deduction_and_other_Revenue[TYPE]=$A$5)*(Deduction_and_other_Revenue[PARTNER]=$A9)),0))</f>
        <v>0</v>
      </c>
      <c r="O9" s="41" cm="1">
        <f t="array" ref="O9">SUM(_xlfn._xlws.FILTER(Deduction_and_other_Revenue[Violation],((Deduction_and_other_Revenue[TYPE]=$A$5)*(Deduction_and_other_Revenue[PARTNER]=$A9)),0))</f>
        <v>0</v>
      </c>
      <c r="P9" s="41" cm="1">
        <f t="array" ref="P9">SUM(_xlfn._xlws.FILTER(Deduction_and_other_Revenue[Other Deductions],((Deduction_and_other_Revenue[TYPE]=$A$5)*(Deduction_and_other_Revenue[PARTNER]=$A9)),0))</f>
        <v>0</v>
      </c>
      <c r="Q9" s="44">
        <f t="shared" si="0"/>
        <v>1234.1599999999999</v>
      </c>
      <c r="U9" s="89"/>
    </row>
    <row r="10" spans="1:21" ht="14.4" x14ac:dyDescent="0.3">
      <c r="A10" s="46" t="str">
        <v>BEYOND EXPRESS</v>
      </c>
      <c r="B10" s="53">
        <v>2298</v>
      </c>
      <c r="C10" s="40" t="str">
        <v>jermel@bexconnect.com</v>
      </c>
      <c r="D10" s="41">
        <f>IFERROR(SUMIF(SumVDPMVReport[PARTNER NAME],$A10,SumVDPMVReport[Total Rev]),0)</f>
        <v>1152.02</v>
      </c>
      <c r="E10" s="41"/>
      <c r="F10" s="41">
        <f>IFERROR(SUMIF(SumVDPMVReport[PARTNER NAME],$A10,#REF!),0)</f>
        <v>0</v>
      </c>
      <c r="G10" s="42" cm="1">
        <f t="array" ref="G10">SUM(_xlfn._xlws.FILTER(Deduction_and_other_Revenue[Other Income],((Deduction_and_other_Revenue[TYPE]=$A$5)*(Deduction_and_other_Revenue[PARTNER]=$A10)),0))</f>
        <v>0</v>
      </c>
      <c r="H10" s="41" cm="1">
        <f t="array" ref="H10">SUM(_xlfn._xlws.FILTER(Deduction_and_other_Revenue[Bonus],((Deduction_and_other_Revenue[TYPE]=$A$5)*(Deduction_and_other_Revenue[PARTNER]=$A10)),0))</f>
        <v>0</v>
      </c>
      <c r="I10" s="42" cm="1">
        <f t="array" ref="I10">SUM(_xlfn._xlws.FILTER(Deduction_and_other_Revenue[Reimbursement],((Deduction_and_other_Revenue[TYPE]=$A$5)*(Deduction_and_other_Revenue[PARTNER]=$A10)),0))</f>
        <v>0</v>
      </c>
      <c r="J10" s="41" cm="1">
        <f t="array" ref="J10">SUM(_xlfn._xlws.FILTER(Deduction_and_other_Revenue[Credentials],((Deduction_and_other_Revenue[TYPE]=$A$5)*(Deduction_and_other_Revenue[PARTNER]=$A10)),0))</f>
        <v>0</v>
      </c>
      <c r="K10" s="43" cm="1">
        <f t="array" ref="K10">SUM(_xlfn._xlws.FILTER(Deduction_and_other_Revenue[LIFT LEASE TOTAL],((Deduction_and_other_Revenue[TYPE]=$A$5)*(Deduction_and_other_Revenue[PARTNER]=$A10)),0))</f>
        <v>618</v>
      </c>
      <c r="L10" s="43" cm="1">
        <f t="array" ref="L10">SUM(_xlfn._xlws.FILTER(Deduction_and_other_Revenue[Tolls],((Deduction_and_other_Revenue[TYPE]=$A$5)*(Deduction_and_other_Revenue[PARTNER]=$A10)),0))</f>
        <v>0</v>
      </c>
      <c r="M10" s="43" cm="1">
        <f t="array" ref="M10">SUM(_xlfn._xlws.FILTER(Deduction_and_other_Revenue[Camera Tickets],((Deduction_and_other_Revenue[TYPE]=$A$5)*(Deduction_and_other_Revenue[PARTNER]=$A10)),0))</f>
        <v>0</v>
      </c>
      <c r="N10" s="43" cm="1">
        <f t="array" ref="N10">SUM(_xlfn._xlws.FILTER(Deduction_and_other_Revenue[Parking Tickets],((Deduction_and_other_Revenue[TYPE]=$A$5)*(Deduction_and_other_Revenue[PARTNER]=$A10)),0))</f>
        <v>0</v>
      </c>
      <c r="O10" s="41" cm="1">
        <f t="array" ref="O10">SUM(_xlfn._xlws.FILTER(Deduction_and_other_Revenue[Violation],((Deduction_and_other_Revenue[TYPE]=$A$5)*(Deduction_and_other_Revenue[PARTNER]=$A10)),0))</f>
        <v>0</v>
      </c>
      <c r="P10" s="41" cm="1">
        <f t="array" ref="P10">SUM(_xlfn._xlws.FILTER(Deduction_and_other_Revenue[Other Deductions],((Deduction_and_other_Revenue[TYPE]=$A$5)*(Deduction_and_other_Revenue[PARTNER]=$A10)),0))</f>
        <v>0</v>
      </c>
      <c r="Q10" s="44">
        <f t="shared" si="0"/>
        <v>534.02</v>
      </c>
      <c r="U10" s="89"/>
    </row>
    <row r="11" spans="1:21" ht="14.4" x14ac:dyDescent="0.3">
      <c r="D11" s="41">
        <f>IFERROR(SUMIF(SumVDPMVReport[PARTNER NAME],$A11,SumVDPMVReport[Total Rev]),0)</f>
        <v>0</v>
      </c>
      <c r="E11" s="41"/>
      <c r="F11" s="41">
        <f>IFERROR(SUMIF(SumVDPMVReport[PARTNER NAME],$A11,#REF!),0)</f>
        <v>0</v>
      </c>
      <c r="G11" s="42" cm="1">
        <f t="array" ref="G11">SUM(_xlfn._xlws.FILTER(Deduction_and_other_Revenue[Other Income],((Deduction_and_other_Revenue[TYPE]=$A$5)*(Deduction_and_other_Revenue[PARTNER]=$A11)),0))</f>
        <v>0</v>
      </c>
      <c r="H11" s="41" cm="1">
        <f t="array" ref="H11">SUM(_xlfn._xlws.FILTER(Deduction_and_other_Revenue[Bonus],((Deduction_and_other_Revenue[TYPE]=$A$5)*(Deduction_and_other_Revenue[PARTNER]=$A11)),0))</f>
        <v>0</v>
      </c>
      <c r="I11" s="42" cm="1">
        <f t="array" ref="I11">SUM(_xlfn._xlws.FILTER(Deduction_and_other_Revenue[Reimbursement],((Deduction_and_other_Revenue[TYPE]=$A$5)*(Deduction_and_other_Revenue[PARTNER]=$A11)),0))</f>
        <v>0</v>
      </c>
      <c r="J11" s="41" cm="1">
        <f t="array" ref="J11">SUM(_xlfn._xlws.FILTER(Deduction_and_other_Revenue[Credentials],((Deduction_and_other_Revenue[TYPE]=$A$5)*(Deduction_and_other_Revenue[PARTNER]=$A11)),0))</f>
        <v>0</v>
      </c>
      <c r="K11" s="43" cm="1">
        <f t="array" ref="K11">SUM(_xlfn._xlws.FILTER(Deduction_and_other_Revenue[LIFT LEASE TOTAL],((Deduction_and_other_Revenue[TYPE]=$A$5)*(Deduction_and_other_Revenue[PARTNER]=$A11)),0))</f>
        <v>0</v>
      </c>
      <c r="L11" s="43" cm="1">
        <f t="array" ref="L11">SUM(_xlfn._xlws.FILTER(Deduction_and_other_Revenue[Tolls],((Deduction_and_other_Revenue[TYPE]=$A$5)*(Deduction_and_other_Revenue[PARTNER]=$A11)),0))</f>
        <v>0</v>
      </c>
      <c r="M11" s="43" cm="1">
        <f t="array" ref="M11">SUM(_xlfn._xlws.FILTER(Deduction_and_other_Revenue[Camera Tickets],((Deduction_and_other_Revenue[TYPE]=$A$5)*(Deduction_and_other_Revenue[PARTNER]=$A11)),0))</f>
        <v>0</v>
      </c>
      <c r="N11" s="43" cm="1">
        <f t="array" ref="N11">SUM(_xlfn._xlws.FILTER(Deduction_and_other_Revenue[Parking Tickets],((Deduction_and_other_Revenue[TYPE]=$A$5)*(Deduction_and_other_Revenue[PARTNER]=$A11)),0))</f>
        <v>0</v>
      </c>
      <c r="O11" s="41" cm="1">
        <f t="array" ref="O11">SUM(_xlfn._xlws.FILTER(Deduction_and_other_Revenue[Violation],((Deduction_and_other_Revenue[TYPE]=$A$5)*(Deduction_and_other_Revenue[PARTNER]=$A11)),0))</f>
        <v>0</v>
      </c>
      <c r="P11" s="41" cm="1">
        <f t="array" ref="P11">SUM(_xlfn._xlws.FILTER(Deduction_and_other_Revenue[Other Deductions],((Deduction_and_other_Revenue[TYPE]=$A$5)*(Deduction_and_other_Revenue[PARTNER]=$A11)),0))</f>
        <v>0</v>
      </c>
      <c r="Q11" s="44">
        <f t="shared" si="0"/>
        <v>0</v>
      </c>
    </row>
    <row r="12" spans="1:21" ht="14.4" x14ac:dyDescent="0.3">
      <c r="D12" s="41">
        <f>IFERROR(SUMIF(SumVDPMVReport[PARTNER NAME],$A12,SumVDPMVReport[Total Rev]),0)</f>
        <v>0</v>
      </c>
      <c r="E12" s="41"/>
      <c r="F12" s="41">
        <f>IFERROR(SUMIF(SumVDPMVReport[PARTNER NAME],$A12,#REF!),0)</f>
        <v>0</v>
      </c>
      <c r="G12" s="42" cm="1">
        <f t="array" ref="G12">SUM(_xlfn._xlws.FILTER(Deduction_and_other_Revenue[Other Income],((Deduction_and_other_Revenue[TYPE]=$A$5)*(Deduction_and_other_Revenue[PARTNER]=$A12)),0))</f>
        <v>0</v>
      </c>
      <c r="H12" s="41" cm="1">
        <f t="array" ref="H12">SUM(_xlfn._xlws.FILTER(Deduction_and_other_Revenue[Bonus],((Deduction_and_other_Revenue[TYPE]=$A$5)*(Deduction_and_other_Revenue[PARTNER]=$A12)),0))</f>
        <v>0</v>
      </c>
      <c r="I12" s="42" cm="1">
        <f t="array" ref="I12">SUM(_xlfn._xlws.FILTER(Deduction_and_other_Revenue[Reimbursement],((Deduction_and_other_Revenue[TYPE]=$A$5)*(Deduction_and_other_Revenue[PARTNER]=$A12)),0))</f>
        <v>0</v>
      </c>
      <c r="J12" s="41" cm="1">
        <f t="array" ref="J12">SUM(_xlfn._xlws.FILTER(Deduction_and_other_Revenue[Credentials],((Deduction_and_other_Revenue[TYPE]=$A$5)*(Deduction_and_other_Revenue[PARTNER]=$A12)),0))</f>
        <v>0</v>
      </c>
      <c r="K12" s="43" cm="1">
        <f t="array" ref="K12">SUM(_xlfn._xlws.FILTER(Deduction_and_other_Revenue[LIFT LEASE TOTAL],((Deduction_and_other_Revenue[TYPE]=$A$5)*(Deduction_and_other_Revenue[PARTNER]=$A12)),0))</f>
        <v>0</v>
      </c>
      <c r="L12" s="43" cm="1">
        <f t="array" ref="L12">SUM(_xlfn._xlws.FILTER(Deduction_and_other_Revenue[Tolls],((Deduction_and_other_Revenue[TYPE]=$A$5)*(Deduction_and_other_Revenue[PARTNER]=$A12)),0))</f>
        <v>0</v>
      </c>
      <c r="M12" s="43" cm="1">
        <f t="array" ref="M12">SUM(_xlfn._xlws.FILTER(Deduction_and_other_Revenue[Camera Tickets],((Deduction_and_other_Revenue[TYPE]=$A$5)*(Deduction_and_other_Revenue[PARTNER]=$A12)),0))</f>
        <v>0</v>
      </c>
      <c r="N12" s="43" cm="1">
        <f t="array" ref="N12">SUM(_xlfn._xlws.FILTER(Deduction_and_other_Revenue[Parking Tickets],((Deduction_and_other_Revenue[TYPE]=$A$5)*(Deduction_and_other_Revenue[PARTNER]=$A12)),0))</f>
        <v>0</v>
      </c>
      <c r="O12" s="41" cm="1">
        <f t="array" ref="O12">SUM(_xlfn._xlws.FILTER(Deduction_and_other_Revenue[Violation],((Deduction_and_other_Revenue[TYPE]=$A$5)*(Deduction_and_other_Revenue[PARTNER]=$A12)),0))</f>
        <v>0</v>
      </c>
      <c r="P12" s="41" cm="1">
        <f t="array" ref="P12">SUM(_xlfn._xlws.FILTER(Deduction_and_other_Revenue[Other Deductions],((Deduction_and_other_Revenue[TYPE]=$A$5)*(Deduction_and_other_Revenue[PARTNER]=$A12)),0))</f>
        <v>0</v>
      </c>
      <c r="Q12" s="44">
        <f t="shared" si="0"/>
        <v>0</v>
      </c>
    </row>
    <row r="13" spans="1:21" ht="14.4" x14ac:dyDescent="0.3">
      <c r="D13" s="41">
        <f>IFERROR(SUMIF(SumVDPMVReport[PARTNER NAME],$A13,SumVDPMVReport[Total Rev]),0)</f>
        <v>0</v>
      </c>
      <c r="E13" s="41"/>
      <c r="F13" s="41">
        <f>IFERROR(SUMIF(SumVDPMVReport[PARTNER NAME],$A13,#REF!),0)</f>
        <v>0</v>
      </c>
      <c r="G13" s="42" cm="1">
        <f t="array" ref="G13">SUM(_xlfn._xlws.FILTER(Deduction_and_other_Revenue[Other Income],((Deduction_and_other_Revenue[TYPE]=$A$5)*(Deduction_and_other_Revenue[PARTNER]=$A13)),0))</f>
        <v>0</v>
      </c>
      <c r="H13" s="41" cm="1">
        <f t="array" ref="H13">SUM(_xlfn._xlws.FILTER(Deduction_and_other_Revenue[Bonus],((Deduction_and_other_Revenue[TYPE]=$A$5)*(Deduction_and_other_Revenue[PARTNER]=$A13)),0))</f>
        <v>0</v>
      </c>
      <c r="I13" s="42" cm="1">
        <f t="array" ref="I13">SUM(_xlfn._xlws.FILTER(Deduction_and_other_Revenue[Reimbursement],((Deduction_and_other_Revenue[TYPE]=$A$5)*(Deduction_and_other_Revenue[PARTNER]=$A13)),0))</f>
        <v>0</v>
      </c>
      <c r="J13" s="41" cm="1">
        <f t="array" ref="J13">SUM(_xlfn._xlws.FILTER(Deduction_and_other_Revenue[Credentials],((Deduction_and_other_Revenue[TYPE]=$A$5)*(Deduction_and_other_Revenue[PARTNER]=$A13)),0))</f>
        <v>0</v>
      </c>
      <c r="K13" s="43" cm="1">
        <f t="array" ref="K13">SUM(_xlfn._xlws.FILTER(Deduction_and_other_Revenue[LIFT LEASE TOTAL],((Deduction_and_other_Revenue[TYPE]=$A$5)*(Deduction_and_other_Revenue[PARTNER]=$A13)),0))</f>
        <v>0</v>
      </c>
      <c r="L13" s="43" cm="1">
        <f t="array" ref="L13">SUM(_xlfn._xlws.FILTER(Deduction_and_other_Revenue[Tolls],((Deduction_and_other_Revenue[TYPE]=$A$5)*(Deduction_and_other_Revenue[PARTNER]=$A13)),0))</f>
        <v>0</v>
      </c>
      <c r="M13" s="43" cm="1">
        <f t="array" ref="M13">SUM(_xlfn._xlws.FILTER(Deduction_and_other_Revenue[Camera Tickets],((Deduction_and_other_Revenue[TYPE]=$A$5)*(Deduction_and_other_Revenue[PARTNER]=$A13)),0))</f>
        <v>0</v>
      </c>
      <c r="N13" s="43" cm="1">
        <f t="array" ref="N13">SUM(_xlfn._xlws.FILTER(Deduction_and_other_Revenue[Parking Tickets],((Deduction_and_other_Revenue[TYPE]=$A$5)*(Deduction_and_other_Revenue[PARTNER]=$A13)),0))</f>
        <v>0</v>
      </c>
      <c r="O13" s="41" cm="1">
        <f t="array" ref="O13">SUM(_xlfn._xlws.FILTER(Deduction_and_other_Revenue[Violation],((Deduction_and_other_Revenue[TYPE]=$A$5)*(Deduction_and_other_Revenue[PARTNER]=$A13)),0))</f>
        <v>0</v>
      </c>
      <c r="P13" s="41" cm="1">
        <f t="array" ref="P13">SUM(_xlfn._xlws.FILTER(Deduction_and_other_Revenue[Other Deductions],((Deduction_and_other_Revenue[TYPE]=$A$5)*(Deduction_and_other_Revenue[PARTNER]=$A13)),0))</f>
        <v>0</v>
      </c>
      <c r="Q13" s="44">
        <f t="shared" si="0"/>
        <v>0</v>
      </c>
    </row>
    <row r="14" spans="1:21" ht="14.4" x14ac:dyDescent="0.3">
      <c r="D14" s="47">
        <f>SUM(D6:D13)</f>
        <v>37978.24749999999</v>
      </c>
      <c r="E14" s="47">
        <f>SUM(E6:E13)</f>
        <v>0</v>
      </c>
      <c r="F14" s="47">
        <f t="shared" ref="F14:Q14" si="1">SUM(F6:F13)</f>
        <v>0</v>
      </c>
      <c r="G14" s="47">
        <f t="shared" si="1"/>
        <v>0</v>
      </c>
      <c r="H14" s="47">
        <f t="shared" si="1"/>
        <v>0</v>
      </c>
      <c r="I14" s="47">
        <f t="shared" si="1"/>
        <v>0</v>
      </c>
      <c r="J14" s="47">
        <f t="shared" si="1"/>
        <v>0</v>
      </c>
      <c r="K14" s="47">
        <f t="shared" si="1"/>
        <v>4160.5</v>
      </c>
      <c r="L14" s="47">
        <f t="shared" si="1"/>
        <v>0</v>
      </c>
      <c r="M14" s="47">
        <f t="shared" si="1"/>
        <v>0</v>
      </c>
      <c r="N14" s="47">
        <f t="shared" si="1"/>
        <v>0</v>
      </c>
      <c r="O14" s="47">
        <f t="shared" si="1"/>
        <v>820</v>
      </c>
      <c r="P14" s="47">
        <f t="shared" si="1"/>
        <v>0</v>
      </c>
      <c r="Q14" s="47">
        <f t="shared" si="1"/>
        <v>32997.747499999998</v>
      </c>
    </row>
    <row r="17" spans="1:20" ht="15.6" x14ac:dyDescent="0.3">
      <c r="D17" s="48">
        <f>D14</f>
        <v>37978.24749999999</v>
      </c>
      <c r="E17" s="48">
        <f t="shared" ref="E17:S17" si="2">E14</f>
        <v>0</v>
      </c>
      <c r="F17" s="48">
        <f t="shared" si="2"/>
        <v>0</v>
      </c>
      <c r="G17" s="48">
        <f t="shared" si="2"/>
        <v>0</v>
      </c>
      <c r="H17" s="48">
        <f t="shared" si="2"/>
        <v>0</v>
      </c>
      <c r="I17" s="48">
        <f t="shared" si="2"/>
        <v>0</v>
      </c>
      <c r="J17" s="48">
        <f t="shared" si="2"/>
        <v>0</v>
      </c>
      <c r="K17" s="48">
        <f t="shared" si="2"/>
        <v>4160.5</v>
      </c>
      <c r="L17" s="48">
        <f t="shared" si="2"/>
        <v>0</v>
      </c>
      <c r="M17" s="48">
        <f t="shared" si="2"/>
        <v>0</v>
      </c>
      <c r="N17" s="48">
        <f t="shared" si="2"/>
        <v>0</v>
      </c>
      <c r="O17" s="48">
        <f t="shared" si="2"/>
        <v>820</v>
      </c>
      <c r="P17" s="48">
        <f t="shared" si="2"/>
        <v>0</v>
      </c>
      <c r="Q17" s="48">
        <f t="shared" si="2"/>
        <v>32997.747499999998</v>
      </c>
      <c r="R17" s="48">
        <f t="shared" si="2"/>
        <v>0</v>
      </c>
      <c r="S17" s="48">
        <f t="shared" si="2"/>
        <v>0</v>
      </c>
    </row>
    <row r="26" spans="1:20" s="34" customFormat="1" ht="21.6" customHeight="1" x14ac:dyDescent="0.3">
      <c r="A26" s="46"/>
      <c r="B26" s="53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3"/>
    </row>
    <row r="27" spans="1:20" ht="15" customHeight="1" x14ac:dyDescent="0.3">
      <c r="T27" s="45"/>
    </row>
    <row r="28" spans="1:20" ht="15" customHeight="1" x14ac:dyDescent="0.3">
      <c r="T28" s="45"/>
    </row>
    <row r="29" spans="1:20" ht="15" customHeight="1" x14ac:dyDescent="0.3">
      <c r="T29" s="45"/>
    </row>
    <row r="30" spans="1:20" ht="15" customHeight="1" x14ac:dyDescent="0.3">
      <c r="T30" s="45"/>
    </row>
  </sheetData>
  <mergeCells count="5">
    <mergeCell ref="D2:I2"/>
    <mergeCell ref="J2:P2"/>
    <mergeCell ref="A5:Q5"/>
    <mergeCell ref="D3:E3"/>
    <mergeCell ref="F3:I3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DF24C-945C-415D-B6E7-12624E274379}">
  <sheetPr codeName="Sheet14"/>
  <dimension ref="A1:R6"/>
  <sheetViews>
    <sheetView workbookViewId="0">
      <selection activeCell="G14" sqref="G14"/>
    </sheetView>
  </sheetViews>
  <sheetFormatPr defaultRowHeight="14.4" x14ac:dyDescent="0.3"/>
  <cols>
    <col min="1" max="1" width="15.5546875" customWidth="1"/>
    <col min="3" max="3" width="5.6640625" bestFit="1" customWidth="1"/>
    <col min="4" max="4" width="11.88671875" customWidth="1"/>
    <col min="5" max="5" width="18.5546875" customWidth="1"/>
    <col min="6" max="6" width="11.33203125" bestFit="1" customWidth="1"/>
    <col min="7" max="7" width="13.88671875" bestFit="1" customWidth="1"/>
    <col min="8" max="8" width="12.109375" bestFit="1" customWidth="1"/>
    <col min="9" max="9" width="10.6640625" bestFit="1" customWidth="1"/>
    <col min="10" max="10" width="9.109375" bestFit="1" customWidth="1"/>
    <col min="11" max="11" width="13.88671875" bestFit="1" customWidth="1"/>
    <col min="12" max="12" width="8.44140625" customWidth="1"/>
    <col min="13" max="13" width="11.6640625" bestFit="1" customWidth="1"/>
    <col min="14" max="14" width="8.6640625" bestFit="1" customWidth="1"/>
    <col min="15" max="15" width="8.33203125" bestFit="1" customWidth="1"/>
    <col min="16" max="16" width="15.33203125" bestFit="1" customWidth="1"/>
    <col min="17" max="17" width="13.109375" bestFit="1" customWidth="1"/>
    <col min="18" max="18" width="17.6640625" bestFit="1" customWidth="1"/>
    <col min="19" max="19" width="18.5546875" customWidth="1"/>
  </cols>
  <sheetData>
    <row r="1" spans="1:18" x14ac:dyDescent="0.3">
      <c r="A1" t="str">
        <f>"$D$2:$R$"&amp;COUNTA(_xlfn.ANCHORARRAY(C2))+1</f>
        <v>$D$2:$R$6</v>
      </c>
      <c r="C1" t="s">
        <v>88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23</v>
      </c>
      <c r="L1" t="s">
        <v>22</v>
      </c>
      <c r="M1" t="s">
        <v>96</v>
      </c>
      <c r="N1" t="s">
        <v>97</v>
      </c>
      <c r="O1" t="s">
        <v>20</v>
      </c>
      <c r="P1" t="s">
        <v>27</v>
      </c>
      <c r="Q1" t="s">
        <v>98</v>
      </c>
      <c r="R1" t="s">
        <v>99</v>
      </c>
    </row>
    <row r="2" spans="1:18" x14ac:dyDescent="0.3">
      <c r="C2" cm="1">
        <f t="array" ref="C2:C6">INDEX(ROW(_xlfn.ANCHORARRAY(PR!$A6)),,1)</f>
        <v>6</v>
      </c>
      <c r="D2" t="str" cm="1">
        <f t="array" ref="D2:D6">IF(_xlfn.ANCHORARRAY(C2)&gt;0,PR!$A$1,"")</f>
        <v>DIV2-IL</v>
      </c>
      <c r="E2" t="str" cm="1">
        <f t="array" ref="E2:E6">IF(_xlfn.ANCHORARRAY(C2)&gt;0,TEXT(MIN(PayDate[Start]),"M/D/YY")&amp;",  "&amp;TEXT(MAX(PayDate[End]),"M/D/YY"),"")</f>
        <v>12/16/24,  12/29/24</v>
      </c>
      <c r="F2" cm="1">
        <f t="array" ref="F2:F6">INDEX(PR!B:B,_xlfn.ANCHORARRAY($C2))</f>
        <v>2338</v>
      </c>
      <c r="H2" cm="1">
        <f t="array" ref="H2:H6">INDEX(PR!D:D,_xlfn.ANCHORARRAY($C2))+INDEX(PR!E:E,_xlfn.ANCHORARRAY($C2))</f>
        <v>14843.349999999999</v>
      </c>
      <c r="I2" cm="1">
        <f t="array" ref="I2:I6">INDEX(PR!F:F,_xlfn.ANCHORARRAY($C2))</f>
        <v>0</v>
      </c>
      <c r="J2" cm="1">
        <f t="array" ref="J2:J6">INDEX(PR!G:G,_xlfn.ANCHORARRAY($C2))</f>
        <v>0</v>
      </c>
      <c r="K2" cm="1">
        <f t="array" ref="K2:K6">INDEX(PR!I:I,_xlfn.ANCHORARRAY($C2))</f>
        <v>0</v>
      </c>
      <c r="L2" cm="1">
        <f t="array" ref="L2:L6">INDEX(PR!H:H,_xlfn.ANCHORARRAY($C2))</f>
        <v>0</v>
      </c>
      <c r="M2" cm="1">
        <f t="array" ref="M2:M6">INDEX(PR!J:J,_xlfn.ANCHORARRAY($C2))</f>
        <v>0</v>
      </c>
      <c r="N2" cm="1">
        <f t="array" ref="N2:N6">INDEX(PR!K:K,_xlfn.ANCHORARRAY($C2))</f>
        <v>1228</v>
      </c>
      <c r="O2" cm="1">
        <f t="array" ref="O2:O6">INDEX(PR!L:L,_xlfn.ANCHORARRAY($C2))+INDEX(PR!M:M,_xlfn.ANCHORARRAY($C2))+INDEX(PR!N:N,_xlfn.ANCHORARRAY($C2))+INDEX(PR!O:O,_xlfn.ANCHORARRAY($C2))</f>
        <v>130</v>
      </c>
      <c r="P2" cm="1">
        <f t="array" ref="P2:P6">INDEX(PR!P:P,_xlfn.ANCHORARRAY($C2))</f>
        <v>0</v>
      </c>
    </row>
    <row r="3" spans="1:18" x14ac:dyDescent="0.3">
      <c r="C3">
        <v>7</v>
      </c>
      <c r="D3" t="str">
        <v>DIV2-IL</v>
      </c>
      <c r="E3" t="str">
        <v>12/16/24,  12/29/24</v>
      </c>
      <c r="F3">
        <v>2302</v>
      </c>
      <c r="H3">
        <v>6237.4575000000004</v>
      </c>
      <c r="I3">
        <v>0</v>
      </c>
      <c r="J3">
        <v>0</v>
      </c>
      <c r="K3">
        <v>0</v>
      </c>
      <c r="L3">
        <v>0</v>
      </c>
      <c r="M3">
        <v>0</v>
      </c>
      <c r="N3">
        <v>460.5</v>
      </c>
      <c r="O3">
        <v>95</v>
      </c>
      <c r="P3">
        <v>0</v>
      </c>
    </row>
    <row r="4" spans="1:18" x14ac:dyDescent="0.3">
      <c r="C4">
        <v>8</v>
      </c>
      <c r="D4" t="str">
        <v>DIV2-IL</v>
      </c>
      <c r="E4" t="str">
        <v>12/16/24,  12/29/24</v>
      </c>
      <c r="F4">
        <v>2313</v>
      </c>
      <c r="H4">
        <v>13893.259999999998</v>
      </c>
      <c r="I4">
        <v>0</v>
      </c>
      <c r="J4">
        <v>0</v>
      </c>
      <c r="K4">
        <v>0</v>
      </c>
      <c r="L4">
        <v>0</v>
      </c>
      <c r="M4">
        <v>0</v>
      </c>
      <c r="N4">
        <v>1236</v>
      </c>
      <c r="O4">
        <v>595</v>
      </c>
      <c r="P4">
        <v>0</v>
      </c>
    </row>
    <row r="5" spans="1:18" x14ac:dyDescent="0.3">
      <c r="C5">
        <v>9</v>
      </c>
      <c r="D5" t="str">
        <v>DIV2-IL</v>
      </c>
      <c r="E5" t="str">
        <v>12/16/24,  12/29/24</v>
      </c>
      <c r="F5">
        <v>2555</v>
      </c>
      <c r="H5">
        <v>1852.1599999999999</v>
      </c>
      <c r="I5">
        <v>0</v>
      </c>
      <c r="J5">
        <v>0</v>
      </c>
      <c r="K5">
        <v>0</v>
      </c>
      <c r="L5">
        <v>0</v>
      </c>
      <c r="M5">
        <v>0</v>
      </c>
      <c r="N5">
        <v>618</v>
      </c>
      <c r="O5">
        <v>0</v>
      </c>
      <c r="P5">
        <v>0</v>
      </c>
    </row>
    <row r="6" spans="1:18" x14ac:dyDescent="0.3">
      <c r="C6">
        <v>10</v>
      </c>
      <c r="D6" t="str">
        <v>DIV2-IL</v>
      </c>
      <c r="E6" t="str">
        <v>12/16/24,  12/29/24</v>
      </c>
      <c r="F6">
        <v>2298</v>
      </c>
      <c r="H6">
        <v>1152.02</v>
      </c>
      <c r="I6">
        <v>0</v>
      </c>
      <c r="J6">
        <v>0</v>
      </c>
      <c r="K6">
        <v>0</v>
      </c>
      <c r="L6">
        <v>0</v>
      </c>
      <c r="M6">
        <v>0</v>
      </c>
      <c r="N6">
        <v>618</v>
      </c>
      <c r="O6">
        <v>0</v>
      </c>
      <c r="P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7D66-FC91-423C-87E1-3EF9F989B5CC}">
  <sheetPr codeName="Sheet3"/>
  <dimension ref="B1:AJ39"/>
  <sheetViews>
    <sheetView showGridLines="0" topLeftCell="D1" zoomScaleNormal="100" workbookViewId="0">
      <selection activeCell="B6" sqref="B6"/>
    </sheetView>
  </sheetViews>
  <sheetFormatPr defaultColWidth="8.88671875" defaultRowHeight="14.4" x14ac:dyDescent="0.3"/>
  <cols>
    <col min="1" max="1" width="1.5546875" style="6" customWidth="1"/>
    <col min="2" max="2" width="13.6640625" style="7" customWidth="1"/>
    <col min="3" max="3" width="15.44140625" style="6" customWidth="1"/>
    <col min="4" max="4" width="12" style="6" customWidth="1"/>
    <col min="5" max="5" width="14.109375" style="6" customWidth="1"/>
    <col min="6" max="6" width="12.6640625" style="66" customWidth="1"/>
    <col min="7" max="7" width="13.44140625" style="67" customWidth="1"/>
    <col min="8" max="8" width="16" style="5" customWidth="1"/>
    <col min="9" max="9" width="18.5546875" style="5" customWidth="1"/>
    <col min="10" max="10" width="17.109375" style="4" customWidth="1"/>
    <col min="11" max="11" width="18.109375" style="4" bestFit="1" customWidth="1"/>
    <col min="12" max="12" width="12.6640625" style="3" customWidth="1"/>
    <col min="13" max="13" width="15" style="3" customWidth="1"/>
    <col min="14" max="14" width="12.88671875" style="8" customWidth="1"/>
    <col min="15" max="16" width="14.33203125" style="8" customWidth="1"/>
    <col min="17" max="21" width="12.44140625" style="8" customWidth="1"/>
    <col min="22" max="23" width="10.33203125" style="6" customWidth="1"/>
    <col min="24" max="24" width="22.88671875" style="49" bestFit="1" customWidth="1"/>
    <col min="25" max="25" width="26.109375" style="6" customWidth="1"/>
    <col min="26" max="26" width="17.33203125" style="6" customWidth="1"/>
    <col min="27" max="27" width="10.5546875" style="3" customWidth="1"/>
    <col min="28" max="28" width="11.6640625" style="4" customWidth="1"/>
    <col min="29" max="29" width="8.88671875" style="6"/>
    <col min="30" max="30" width="16.33203125" style="6" customWidth="1"/>
    <col min="31" max="31" width="9.5546875" style="49" bestFit="1" customWidth="1"/>
    <col min="32" max="35" width="8.88671875" style="6"/>
    <col min="36" max="36" width="8.88671875" style="64"/>
    <col min="37" max="16384" width="8.88671875" style="6"/>
  </cols>
  <sheetData>
    <row r="1" spans="2:36" ht="9" customHeight="1" thickBot="1" x14ac:dyDescent="0.35">
      <c r="V1" s="8"/>
      <c r="W1" s="8"/>
      <c r="X1" s="8"/>
      <c r="AA1" s="6"/>
      <c r="AB1" s="6"/>
      <c r="AD1" s="8"/>
      <c r="AE1" s="3"/>
      <c r="AF1" s="8"/>
      <c r="AJ1" s="6"/>
    </row>
    <row r="2" spans="2:36" ht="21" customHeight="1" thickBot="1" x14ac:dyDescent="0.35">
      <c r="B2" s="104" t="s">
        <v>37</v>
      </c>
      <c r="C2" s="104"/>
      <c r="D2" s="104"/>
      <c r="E2" s="104"/>
      <c r="F2" s="104"/>
      <c r="H2" s="28" t="s">
        <v>104</v>
      </c>
      <c r="I2" s="29">
        <f>SUM($V$8,$Y$6)-$AB$7</f>
        <v>12062.259999999998</v>
      </c>
      <c r="M2" s="8"/>
      <c r="V2" s="8"/>
      <c r="X2" s="95" t="s">
        <v>105</v>
      </c>
      <c r="Y2" s="95"/>
      <c r="AA2" s="114" t="s">
        <v>106</v>
      </c>
      <c r="AB2" s="114"/>
      <c r="AD2" s="114" t="s">
        <v>108</v>
      </c>
      <c r="AE2" s="114"/>
      <c r="AF2" s="8"/>
      <c r="AH2" s="9"/>
      <c r="AI2" s="9"/>
      <c r="AJ2" s="9"/>
    </row>
    <row r="3" spans="2:36" x14ac:dyDescent="0.3">
      <c r="F3" s="68"/>
      <c r="G3" s="69"/>
      <c r="V3" s="8"/>
      <c r="X3" s="13" t="s">
        <v>109</v>
      </c>
      <c r="Y3" s="22">
        <f>SUMIF(Deduction_and_other_Revenue[PARTNER],$B$2,Deduction_and_other_Revenue[Bonus])</f>
        <v>0</v>
      </c>
      <c r="AA3" s="9" t="s">
        <v>84</v>
      </c>
      <c r="AB3" s="10">
        <f>SUMIF(Deduction_and_other_Revenue[PARTNER],$B$2,Deduction_and_other_Revenue[Credentials])</f>
        <v>0</v>
      </c>
      <c r="AD3" s="9" t="s">
        <v>24</v>
      </c>
      <c r="AE3" s="10">
        <f>SUMIF(Deduction_and_other_Revenue[PARTNER],$B$2,Deduction_and_other_Revenue[Tolls])</f>
        <v>0</v>
      </c>
      <c r="AF3" s="8"/>
      <c r="AJ3" s="6"/>
    </row>
    <row r="4" spans="2:36" ht="20.399999999999999" customHeight="1" x14ac:dyDescent="0.3">
      <c r="G4" s="6"/>
      <c r="H4" s="67"/>
      <c r="J4" s="108" t="s">
        <v>111</v>
      </c>
      <c r="K4" s="109"/>
      <c r="L4" s="110"/>
      <c r="M4" s="105" t="s">
        <v>112</v>
      </c>
      <c r="N4" s="106"/>
      <c r="O4" s="106"/>
      <c r="P4" s="107"/>
      <c r="X4" s="14" t="s">
        <v>113</v>
      </c>
      <c r="Y4" s="22">
        <f>SUMIF(Deduction_and_other_Revenue[PARTNER],$B$2,Deduction_and_other_Revenue[Other Income])</f>
        <v>0</v>
      </c>
      <c r="AA4" s="9" t="s">
        <v>17</v>
      </c>
      <c r="AB4" s="10">
        <f>SUMIF(Deduction_and_other_Revenue[PARTNER],$B$2,Deduction_and_other_Revenue[LIFT LEASE TOTAL])</f>
        <v>1236</v>
      </c>
      <c r="AD4" s="9" t="s">
        <v>25</v>
      </c>
      <c r="AE4" s="10">
        <f>SUMIF(Deduction_and_other_Revenue[PARTNER],$B$2,Deduction_and_other_Revenue[Camera Tickets])</f>
        <v>0</v>
      </c>
      <c r="AF4" s="8"/>
      <c r="AJ4" s="6"/>
    </row>
    <row r="5" spans="2:36" ht="34.950000000000003" customHeight="1" thickBot="1" x14ac:dyDescent="0.35">
      <c r="B5" s="16" t="s">
        <v>114</v>
      </c>
      <c r="C5" s="24" t="s">
        <v>115</v>
      </c>
      <c r="D5" s="71" t="s">
        <v>116</v>
      </c>
      <c r="E5" s="71" t="s">
        <v>117</v>
      </c>
      <c r="F5" s="71" t="s">
        <v>118</v>
      </c>
      <c r="G5" s="70" t="s">
        <v>119</v>
      </c>
      <c r="H5" s="70" t="s">
        <v>120</v>
      </c>
      <c r="I5" s="77" t="s">
        <v>121</v>
      </c>
      <c r="J5" s="77" t="s">
        <v>122</v>
      </c>
      <c r="K5" s="77" t="s">
        <v>123</v>
      </c>
      <c r="L5" s="77" t="s">
        <v>124</v>
      </c>
      <c r="M5" s="77" t="s">
        <v>125</v>
      </c>
      <c r="N5" s="24" t="s">
        <v>126</v>
      </c>
      <c r="O5" s="24" t="s">
        <v>123</v>
      </c>
      <c r="P5" s="77" t="s">
        <v>124</v>
      </c>
      <c r="Q5" s="77" t="s">
        <v>127</v>
      </c>
      <c r="R5" s="77" t="s">
        <v>128</v>
      </c>
      <c r="S5" s="77" t="s">
        <v>129</v>
      </c>
      <c r="T5" s="77" t="s">
        <v>24</v>
      </c>
      <c r="U5" s="77" t="s">
        <v>130</v>
      </c>
      <c r="V5" s="77" t="s">
        <v>131</v>
      </c>
      <c r="X5" s="14" t="s">
        <v>83</v>
      </c>
      <c r="Y5" s="23">
        <f>SUMIF(Deduction_and_other_Revenue[PARTNER],$B$2,Deduction_and_other_Revenue[Reimbursement])</f>
        <v>0</v>
      </c>
      <c r="AA5" s="9" t="s">
        <v>27</v>
      </c>
      <c r="AB5" s="10">
        <f>SUMIF(Deduction_and_other_Revenue[PARTNER],$B$2,Deduction_and_other_Revenue[Other Deductions])</f>
        <v>0</v>
      </c>
      <c r="AD5" s="9" t="s">
        <v>26</v>
      </c>
      <c r="AE5" s="10">
        <f>SUMIF(Deduction_and_other_Revenue[PARTNER],$B$2,Deduction_and_other_Revenue[Parking Tickets])</f>
        <v>0</v>
      </c>
      <c r="AF5" s="8"/>
      <c r="AJ5" s="6"/>
    </row>
    <row r="6" spans="2:36" x14ac:dyDescent="0.3">
      <c r="B6" s="7" t="str" cm="1">
        <f t="array" ref="B6:V7">_xlfn._xlws.FILTER(SumVDPMVReport[[WeekN]:[Total Rev]],SumVDPMVReport[PARTNER NAME]=$B$2,"No Data for the Selected Partner")</f>
        <v>Week1</v>
      </c>
      <c r="C6" s="69">
        <v>191</v>
      </c>
      <c r="D6" s="4">
        <v>190.32</v>
      </c>
      <c r="E6" s="4">
        <v>140</v>
      </c>
      <c r="F6" s="4">
        <v>50.319999999999993</v>
      </c>
      <c r="G6" s="67">
        <v>1</v>
      </c>
      <c r="H6" s="74">
        <v>2861.95</v>
      </c>
      <c r="I6" s="8">
        <v>1354.1112000000001</v>
      </c>
      <c r="J6" s="8">
        <v>1297.2495999999999</v>
      </c>
      <c r="K6" s="8">
        <v>0</v>
      </c>
      <c r="L6" s="74">
        <v>0</v>
      </c>
      <c r="M6" s="87">
        <v>0.99054373522458605</v>
      </c>
      <c r="N6" s="87">
        <v>3.5799522673030999E-2</v>
      </c>
      <c r="O6" s="8">
        <v>648.62480000000005</v>
      </c>
      <c r="P6" s="74">
        <v>0</v>
      </c>
      <c r="Q6" s="87">
        <v>0.88939680538041199</v>
      </c>
      <c r="R6" s="8">
        <v>324.31240000000003</v>
      </c>
      <c r="S6" s="8">
        <v>152.75</v>
      </c>
      <c r="T6" s="8">
        <v>0</v>
      </c>
      <c r="U6" s="8">
        <v>0</v>
      </c>
      <c r="V6" s="8">
        <v>6638.9979999999996</v>
      </c>
      <c r="X6" s="51" t="s">
        <v>132</v>
      </c>
      <c r="Y6" s="52">
        <f>SUM(Y3:Y5)</f>
        <v>0</v>
      </c>
      <c r="AA6" s="11" t="s">
        <v>30</v>
      </c>
      <c r="AB6" s="12">
        <f>SUMIF(Deduction_and_other_Revenue[PARTNER],$B$2,Deduction_and_other_Revenue[Total Violation])</f>
        <v>595</v>
      </c>
      <c r="AD6" s="11" t="s">
        <v>133</v>
      </c>
      <c r="AE6" s="12">
        <f>SUMIF(Deduction_and_other_Revenue[PARTNER],$B$2,Deduction_and_other_Revenue[Violation])</f>
        <v>595</v>
      </c>
      <c r="AF6" s="8"/>
      <c r="AJ6" s="6"/>
    </row>
    <row r="7" spans="2:36" ht="15" thickBot="1" x14ac:dyDescent="0.35">
      <c r="B7" s="7" t="str">
        <v>Week2</v>
      </c>
      <c r="C7" s="69">
        <v>206</v>
      </c>
      <c r="D7" s="4">
        <v>205.48</v>
      </c>
      <c r="E7" s="4">
        <v>140</v>
      </c>
      <c r="F7" s="4">
        <v>65.47999999999999</v>
      </c>
      <c r="G7" s="67">
        <v>1</v>
      </c>
      <c r="H7" s="74">
        <v>2861.95</v>
      </c>
      <c r="I7" s="8">
        <v>1762.0668000000001</v>
      </c>
      <c r="J7" s="8">
        <v>1422.7743999999998</v>
      </c>
      <c r="K7" s="8">
        <v>0</v>
      </c>
      <c r="L7" s="74">
        <v>0</v>
      </c>
      <c r="M7" s="87">
        <v>0.99120879120879102</v>
      </c>
      <c r="N7" s="87">
        <v>3.54767184035477E-2</v>
      </c>
      <c r="O7" s="8">
        <v>711.38720000000001</v>
      </c>
      <c r="P7" s="74">
        <v>0</v>
      </c>
      <c r="Q7" s="87">
        <v>0.83633443644150296</v>
      </c>
      <c r="R7" s="8">
        <v>355.6936</v>
      </c>
      <c r="S7" s="8">
        <v>140.38999999999999</v>
      </c>
      <c r="T7" s="8">
        <v>0</v>
      </c>
      <c r="U7" s="8">
        <v>0</v>
      </c>
      <c r="V7" s="8">
        <v>7254.2619999999997</v>
      </c>
      <c r="W7" s="8"/>
      <c r="X7" s="8"/>
      <c r="Y7" s="15"/>
      <c r="AA7" s="9" t="s">
        <v>106</v>
      </c>
      <c r="AB7" s="10">
        <f>IFERROR(SUM(AB3:AB6),0)</f>
        <v>1831</v>
      </c>
      <c r="AD7" s="9" t="s">
        <v>30</v>
      </c>
      <c r="AE7" s="10">
        <f>SUM(AE3:AE6)</f>
        <v>595</v>
      </c>
      <c r="AF7" s="8"/>
      <c r="AJ7" s="6"/>
    </row>
    <row r="8" spans="2:36" x14ac:dyDescent="0.3">
      <c r="B8" s="25" t="s">
        <v>134</v>
      </c>
      <c r="C8" s="76">
        <f>SUM(C6:C7)</f>
        <v>397</v>
      </c>
      <c r="D8" s="26">
        <f t="shared" ref="D8:F8" si="0">SUM(D6:D7)</f>
        <v>395.79999999999995</v>
      </c>
      <c r="E8" s="26">
        <f t="shared" si="0"/>
        <v>280</v>
      </c>
      <c r="F8" s="26">
        <f t="shared" si="0"/>
        <v>115.79999999999998</v>
      </c>
      <c r="G8" s="76"/>
      <c r="H8" s="86">
        <f>SUM(H6:H7)</f>
        <v>5723.9</v>
      </c>
      <c r="I8" s="27">
        <f>SUM(I6:I7)</f>
        <v>3116.1779999999999</v>
      </c>
      <c r="J8" s="27">
        <f t="shared" ref="J8:O8" si="1">SUM(J6:J7)</f>
        <v>2720.0239999999994</v>
      </c>
      <c r="K8" s="27">
        <f t="shared" si="1"/>
        <v>0</v>
      </c>
      <c r="L8" s="27">
        <f t="shared" si="1"/>
        <v>0</v>
      </c>
      <c r="M8" s="26"/>
      <c r="N8" s="88"/>
      <c r="O8" s="27">
        <f t="shared" si="1"/>
        <v>1360.0120000000002</v>
      </c>
      <c r="P8" s="27">
        <f>SUM(P6:P7)</f>
        <v>0</v>
      </c>
      <c r="Q8" s="88"/>
      <c r="R8" s="27">
        <f>SUM(R6:R7)</f>
        <v>680.00600000000009</v>
      </c>
      <c r="S8" s="27">
        <f>SUM(S6:S7)</f>
        <v>293.14</v>
      </c>
      <c r="T8" s="27">
        <f>SUM(T6:T7)</f>
        <v>0</v>
      </c>
      <c r="U8" s="27">
        <f>SUM(U6:U7)</f>
        <v>0</v>
      </c>
      <c r="V8" s="27">
        <f>SUM(V6:V7)</f>
        <v>13893.259999999998</v>
      </c>
      <c r="X8" s="6"/>
      <c r="AA8" s="6"/>
      <c r="AB8" s="6"/>
      <c r="AD8" s="8"/>
      <c r="AE8" s="3"/>
      <c r="AF8" s="8"/>
      <c r="AJ8" s="6"/>
    </row>
    <row r="9" spans="2:36" ht="22.95" customHeight="1" thickBot="1" x14ac:dyDescent="0.35">
      <c r="F9" s="68"/>
      <c r="G9" s="69"/>
      <c r="V9" s="8"/>
      <c r="W9" s="8"/>
      <c r="X9" s="8"/>
      <c r="AA9" s="6"/>
      <c r="AB9" s="6"/>
      <c r="AD9" s="8"/>
      <c r="AE9" s="3"/>
      <c r="AF9" s="8"/>
      <c r="AJ9" s="6"/>
    </row>
    <row r="10" spans="2:36" ht="21.6" thickBot="1" x14ac:dyDescent="0.35">
      <c r="B10" s="111" t="s">
        <v>135</v>
      </c>
      <c r="C10" s="112"/>
      <c r="D10" s="112"/>
      <c r="E10" s="112"/>
      <c r="F10" s="112"/>
      <c r="G10" s="112"/>
      <c r="H10" s="112"/>
      <c r="I10" s="112"/>
      <c r="J10" s="112"/>
      <c r="K10" s="112"/>
      <c r="L10" s="112"/>
      <c r="M10" s="113"/>
      <c r="N10" s="6"/>
      <c r="O10" s="6"/>
      <c r="P10" s="6"/>
      <c r="Q10" s="6"/>
      <c r="R10" s="6"/>
      <c r="S10" s="6"/>
      <c r="T10" s="6"/>
      <c r="U10" s="6"/>
      <c r="X10" s="115" t="s">
        <v>136</v>
      </c>
      <c r="Y10" s="116"/>
      <c r="Z10" s="116"/>
      <c r="AA10" s="6"/>
      <c r="AB10" s="6"/>
      <c r="AE10" s="6"/>
      <c r="AJ10" s="6"/>
    </row>
    <row r="11" spans="2:36" ht="29.4" thickBot="1" x14ac:dyDescent="0.35">
      <c r="B11" s="78" t="s">
        <v>138</v>
      </c>
      <c r="C11" s="79" t="s">
        <v>139</v>
      </c>
      <c r="D11" s="80" t="s">
        <v>140</v>
      </c>
      <c r="E11" s="80" t="s">
        <v>141</v>
      </c>
      <c r="F11" s="81" t="s">
        <v>125</v>
      </c>
      <c r="G11" s="81" t="s">
        <v>126</v>
      </c>
      <c r="H11" s="82" t="s">
        <v>142</v>
      </c>
      <c r="I11" s="82" t="s">
        <v>143</v>
      </c>
      <c r="J11" s="83" t="s">
        <v>116</v>
      </c>
      <c r="K11" s="84" t="s">
        <v>144</v>
      </c>
      <c r="L11" s="91" t="s">
        <v>145</v>
      </c>
      <c r="M11" s="91" t="s">
        <v>24</v>
      </c>
      <c r="N11" s="6"/>
      <c r="O11" s="6"/>
      <c r="P11" s="6"/>
      <c r="Q11" s="6"/>
      <c r="R11" s="6"/>
      <c r="S11" s="6"/>
      <c r="T11" s="6"/>
      <c r="U11" s="6"/>
      <c r="X11" s="21" t="s">
        <v>16</v>
      </c>
      <c r="Y11" s="50" t="s">
        <v>146</v>
      </c>
      <c r="Z11" s="21" t="s">
        <v>18</v>
      </c>
      <c r="AA11" s="6"/>
      <c r="AB11" s="6"/>
      <c r="AE11" s="6"/>
      <c r="AJ11" s="6"/>
    </row>
    <row r="12" spans="2:36" x14ac:dyDescent="0.3">
      <c r="B12" s="7" cm="1">
        <f t="array" ref="B12:M25">_xlfn._xlws.FILTER(VDPMVReport[[Week]:[Tolls]],VDPMVReport[PARTNER NAME]=$B$2,"No Data for the Selected Partner")</f>
        <v>45642</v>
      </c>
      <c r="C12" s="6" t="str">
        <v>Ethel</v>
      </c>
      <c r="D12" s="6" t="str">
        <v>Stewart</v>
      </c>
      <c r="E12" s="6">
        <v>55</v>
      </c>
      <c r="F12" s="66">
        <v>1</v>
      </c>
      <c r="G12" s="67">
        <v>0</v>
      </c>
      <c r="H12" s="5">
        <v>31.44</v>
      </c>
      <c r="I12" s="5">
        <v>0</v>
      </c>
      <c r="J12" s="4">
        <v>31.44</v>
      </c>
      <c r="K12" s="4">
        <v>757.8</v>
      </c>
      <c r="L12" s="3">
        <v>35</v>
      </c>
      <c r="M12" s="3">
        <v>0</v>
      </c>
      <c r="X12" s="8" cm="1">
        <f t="array" ref="X12:Z15">_xlfn._xlws.FILTER(Deduction_and_other_Revenue[[ Lift Lease Rate]:[LIFT LEASE TOTAL]],Deduction_and_other_Revenue[PARTNER]=$B$2,"No Data for the Selected Partner")</f>
        <v>307</v>
      </c>
      <c r="Y12" s="3">
        <v>0</v>
      </c>
      <c r="Z12" s="8">
        <v>0</v>
      </c>
      <c r="AA12" s="6"/>
      <c r="AB12" s="6"/>
      <c r="AE12" s="6"/>
      <c r="AJ12" s="6"/>
    </row>
    <row r="13" spans="2:36" x14ac:dyDescent="0.3">
      <c r="B13" s="7">
        <v>45649</v>
      </c>
      <c r="C13" s="6" t="str">
        <v>Ethel</v>
      </c>
      <c r="D13" s="6" t="str">
        <v>Stewart</v>
      </c>
      <c r="E13" s="6">
        <v>63</v>
      </c>
      <c r="F13" s="66">
        <v>1</v>
      </c>
      <c r="G13" s="67">
        <v>1.4492753623188406E-2</v>
      </c>
      <c r="H13" s="5">
        <v>32.17</v>
      </c>
      <c r="I13" s="5">
        <v>0</v>
      </c>
      <c r="J13" s="4">
        <v>32.17</v>
      </c>
      <c r="K13" s="4">
        <v>640.93999999999903</v>
      </c>
      <c r="L13" s="3">
        <v>58</v>
      </c>
      <c r="M13" s="3">
        <v>0</v>
      </c>
      <c r="X13" s="49">
        <v>309</v>
      </c>
      <c r="Y13" s="6">
        <v>2</v>
      </c>
      <c r="Z13" s="6">
        <v>618</v>
      </c>
    </row>
    <row r="14" spans="2:36" x14ac:dyDescent="0.3">
      <c r="B14" s="7">
        <v>45642</v>
      </c>
      <c r="C14" s="6" t="str">
        <v>BRENDA</v>
      </c>
      <c r="D14" s="6" t="str">
        <v>LUMPKIN</v>
      </c>
      <c r="E14" s="6">
        <v>54</v>
      </c>
      <c r="F14" s="66">
        <v>0.98484848484848486</v>
      </c>
      <c r="G14" s="67">
        <v>0.1076923076923077</v>
      </c>
      <c r="H14" s="5">
        <v>29.31</v>
      </c>
      <c r="I14" s="5">
        <v>0.19</v>
      </c>
      <c r="J14" s="4">
        <v>29.119999999999997</v>
      </c>
      <c r="K14" s="4">
        <v>726.51</v>
      </c>
      <c r="L14" s="3">
        <v>16</v>
      </c>
      <c r="M14" s="3">
        <v>0</v>
      </c>
      <c r="X14" s="49">
        <v>309</v>
      </c>
      <c r="Y14" s="6">
        <v>2</v>
      </c>
      <c r="Z14" s="6">
        <v>618</v>
      </c>
    </row>
    <row r="15" spans="2:36" x14ac:dyDescent="0.3">
      <c r="B15" s="7">
        <v>45649</v>
      </c>
      <c r="C15" s="6" t="str">
        <v>BRENDA</v>
      </c>
      <c r="D15" s="6" t="str">
        <v>LUMPKIN</v>
      </c>
      <c r="E15" s="6">
        <v>47</v>
      </c>
      <c r="F15" s="66">
        <v>0.9821428571428571</v>
      </c>
      <c r="G15" s="67">
        <v>0.10909090909090909</v>
      </c>
      <c r="H15" s="5">
        <v>23.65</v>
      </c>
      <c r="I15" s="5">
        <v>0.11</v>
      </c>
      <c r="J15" s="4">
        <v>23.54</v>
      </c>
      <c r="K15" s="4">
        <v>483.17999999999898</v>
      </c>
      <c r="L15" s="3">
        <v>14</v>
      </c>
      <c r="M15" s="3">
        <v>0</v>
      </c>
      <c r="X15" s="49">
        <v>315</v>
      </c>
      <c r="Y15" s="6">
        <v>0</v>
      </c>
      <c r="Z15" s="6">
        <v>0</v>
      </c>
    </row>
    <row r="16" spans="2:36" x14ac:dyDescent="0.3">
      <c r="B16" s="7">
        <v>45642</v>
      </c>
      <c r="C16" s="6" t="str">
        <v>Dennis</v>
      </c>
      <c r="D16" s="6" t="str">
        <v>Jones</v>
      </c>
      <c r="E16" s="6">
        <v>55</v>
      </c>
      <c r="F16" s="66">
        <v>1</v>
      </c>
      <c r="G16" s="67">
        <v>3.5714285714285712E-2</v>
      </c>
      <c r="H16" s="5">
        <v>29.15</v>
      </c>
      <c r="I16" s="5">
        <v>0.02</v>
      </c>
      <c r="J16" s="4">
        <v>29.13</v>
      </c>
      <c r="K16" s="4">
        <v>580.85999999999899</v>
      </c>
      <c r="L16" s="3">
        <v>33</v>
      </c>
      <c r="M16" s="3">
        <v>0</v>
      </c>
    </row>
    <row r="17" spans="2:13" x14ac:dyDescent="0.3">
      <c r="B17" s="7">
        <v>45649</v>
      </c>
      <c r="C17" s="6" t="str">
        <v>Dennis</v>
      </c>
      <c r="D17" s="6" t="str">
        <v>Jones</v>
      </c>
      <c r="E17" s="6">
        <v>64</v>
      </c>
      <c r="F17" s="66">
        <v>1</v>
      </c>
      <c r="G17" s="67">
        <v>0</v>
      </c>
      <c r="H17" s="5">
        <v>36.380000000000003</v>
      </c>
      <c r="I17" s="5">
        <v>2.75</v>
      </c>
      <c r="J17" s="4">
        <v>33.630000000000003</v>
      </c>
      <c r="K17" s="4">
        <v>628.56999999999903</v>
      </c>
      <c r="L17" s="3">
        <v>22</v>
      </c>
      <c r="M17" s="3">
        <v>0</v>
      </c>
    </row>
    <row r="18" spans="2:13" x14ac:dyDescent="0.3">
      <c r="B18" s="7">
        <v>45642</v>
      </c>
      <c r="C18" s="6" t="str">
        <v>STERLING</v>
      </c>
      <c r="D18" s="6" t="str">
        <v>ROGERS</v>
      </c>
      <c r="E18" s="6">
        <v>45</v>
      </c>
      <c r="F18" s="66">
        <v>0.97916666666666663</v>
      </c>
      <c r="G18" s="67">
        <v>4.2553191489361701E-2</v>
      </c>
      <c r="H18" s="5">
        <v>22.75</v>
      </c>
      <c r="I18" s="5">
        <v>0.01</v>
      </c>
      <c r="J18" s="4">
        <v>22.74</v>
      </c>
      <c r="K18" s="4">
        <v>488.54</v>
      </c>
      <c r="L18" s="3">
        <v>15</v>
      </c>
      <c r="M18" s="3">
        <v>0</v>
      </c>
    </row>
    <row r="19" spans="2:13" x14ac:dyDescent="0.3">
      <c r="B19" s="7">
        <v>45649</v>
      </c>
      <c r="C19" s="6" t="str">
        <v>STERLING</v>
      </c>
      <c r="D19" s="6" t="str">
        <v>ROGERS</v>
      </c>
      <c r="E19" s="6">
        <v>20</v>
      </c>
      <c r="F19" s="66">
        <v>1</v>
      </c>
      <c r="G19" s="67">
        <v>0</v>
      </c>
      <c r="H19" s="5">
        <v>17.850000000000001</v>
      </c>
      <c r="I19" s="5">
        <v>0.13</v>
      </c>
      <c r="J19" s="4">
        <v>17.720000000000002</v>
      </c>
      <c r="K19" s="4">
        <v>214.13</v>
      </c>
      <c r="L19" s="3">
        <v>6</v>
      </c>
      <c r="M19" s="3">
        <v>0</v>
      </c>
    </row>
    <row r="20" spans="2:13" x14ac:dyDescent="0.3">
      <c r="B20" s="7">
        <v>45642</v>
      </c>
      <c r="C20" s="6" t="str">
        <v>Sarah</v>
      </c>
      <c r="D20" s="6" t="str">
        <v>Reinhard</v>
      </c>
      <c r="E20" s="6">
        <v>54</v>
      </c>
      <c r="F20" s="66">
        <v>0.97142857142857142</v>
      </c>
      <c r="G20" s="67">
        <v>2.9411764705882353E-2</v>
      </c>
      <c r="H20" s="5">
        <v>25.55</v>
      </c>
      <c r="I20" s="5">
        <v>0.05</v>
      </c>
      <c r="J20" s="4">
        <v>25.5</v>
      </c>
      <c r="K20" s="4">
        <v>551.91</v>
      </c>
      <c r="L20" s="3">
        <v>18.05</v>
      </c>
      <c r="M20" s="3">
        <v>0</v>
      </c>
    </row>
    <row r="21" spans="2:13" x14ac:dyDescent="0.3">
      <c r="B21" s="7">
        <v>45649</v>
      </c>
      <c r="C21" s="6" t="str">
        <v>Sarah</v>
      </c>
      <c r="D21" s="6" t="str">
        <v>Reinhard</v>
      </c>
      <c r="E21" s="6">
        <v>85</v>
      </c>
      <c r="F21" s="66">
        <v>0.97058823529411764</v>
      </c>
      <c r="G21" s="67">
        <v>2.0202020202020204E-2</v>
      </c>
      <c r="H21" s="5">
        <v>40.090000000000003</v>
      </c>
      <c r="I21" s="5">
        <v>7.0000000000000007E-2</v>
      </c>
      <c r="J21" s="4">
        <v>40.020000000000003</v>
      </c>
      <c r="K21" s="4">
        <v>853.44999999999902</v>
      </c>
      <c r="L21" s="3">
        <v>20</v>
      </c>
      <c r="M21" s="3">
        <v>0</v>
      </c>
    </row>
    <row r="22" spans="2:13" x14ac:dyDescent="0.3">
      <c r="B22" s="7">
        <v>45642</v>
      </c>
      <c r="C22" s="6" t="str">
        <v>Dennis</v>
      </c>
      <c r="D22" s="6" t="str">
        <v>Jones Jr</v>
      </c>
      <c r="E22" s="6">
        <v>29</v>
      </c>
      <c r="F22" s="66">
        <v>1</v>
      </c>
      <c r="G22" s="67">
        <v>3.7037037037037035E-2</v>
      </c>
      <c r="H22" s="5">
        <v>26.75</v>
      </c>
      <c r="I22" s="5">
        <v>2.1</v>
      </c>
      <c r="J22" s="4">
        <v>24.65</v>
      </c>
      <c r="K22" s="4">
        <v>364.81</v>
      </c>
      <c r="L22" s="3">
        <v>10.52</v>
      </c>
      <c r="M22" s="3">
        <v>0</v>
      </c>
    </row>
    <row r="23" spans="2:13" x14ac:dyDescent="0.3">
      <c r="B23" s="7">
        <v>45649</v>
      </c>
      <c r="C23" s="6" t="str">
        <v>Dennis</v>
      </c>
      <c r="D23" s="6" t="str">
        <v>Jones Jr</v>
      </c>
      <c r="E23" s="6">
        <v>52</v>
      </c>
      <c r="F23" s="66">
        <v>1</v>
      </c>
      <c r="G23" s="67">
        <v>5.8823529411764705E-2</v>
      </c>
      <c r="H23" s="5">
        <v>35.229999999999997</v>
      </c>
      <c r="I23" s="5">
        <v>1.55</v>
      </c>
      <c r="J23" s="4">
        <v>33.68</v>
      </c>
      <c r="K23" s="4">
        <v>482.229999999999</v>
      </c>
      <c r="L23" s="3">
        <v>11</v>
      </c>
      <c r="M23" s="3">
        <v>0</v>
      </c>
    </row>
    <row r="24" spans="2:13" x14ac:dyDescent="0.3">
      <c r="B24" s="7">
        <v>45642</v>
      </c>
      <c r="C24" s="6" t="str">
        <v>HENRY</v>
      </c>
      <c r="D24" s="6" t="str">
        <v>PINCKNEY</v>
      </c>
      <c r="E24" s="6">
        <v>54</v>
      </c>
      <c r="F24" s="66">
        <v>1</v>
      </c>
      <c r="G24" s="67">
        <v>0</v>
      </c>
      <c r="H24" s="5">
        <v>27.74</v>
      </c>
      <c r="I24" s="5">
        <v>0</v>
      </c>
      <c r="J24" s="4">
        <v>27.74</v>
      </c>
      <c r="K24" s="4">
        <v>733.5</v>
      </c>
      <c r="L24" s="3">
        <v>25.18</v>
      </c>
      <c r="M24" s="3">
        <v>0</v>
      </c>
    </row>
    <row r="25" spans="2:13" x14ac:dyDescent="0.3">
      <c r="B25" s="7">
        <v>45649</v>
      </c>
      <c r="C25" s="6" t="str">
        <v>HENRY</v>
      </c>
      <c r="D25" s="6" t="str">
        <v>PINCKNEY</v>
      </c>
      <c r="E25" s="6">
        <v>52</v>
      </c>
      <c r="F25" s="66">
        <v>1</v>
      </c>
      <c r="G25" s="67">
        <v>3.5714285714285712E-2</v>
      </c>
      <c r="H25" s="5">
        <v>25.14</v>
      </c>
      <c r="I25" s="5">
        <v>0.42</v>
      </c>
      <c r="J25" s="4">
        <v>24.72</v>
      </c>
      <c r="K25" s="4">
        <v>608.66999999999996</v>
      </c>
      <c r="L25" s="3">
        <v>9.39</v>
      </c>
      <c r="M25" s="3">
        <v>0</v>
      </c>
    </row>
    <row r="33" spans="5:12" x14ac:dyDescent="0.3">
      <c r="E33" s="90"/>
    </row>
    <row r="39" spans="5:12" x14ac:dyDescent="0.3">
      <c r="L39" s="4"/>
    </row>
  </sheetData>
  <mergeCells count="7">
    <mergeCell ref="B2:F2"/>
    <mergeCell ref="M4:P4"/>
    <mergeCell ref="J4:L4"/>
    <mergeCell ref="B10:M10"/>
    <mergeCell ref="AD2:AE2"/>
    <mergeCell ref="X10:Z10"/>
    <mergeCell ref="AA2:AB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51CD1743-747E-40EA-8036-D616576BCAE2}">
          <x14:formula1>
            <xm:f>_xlfn.ANCHORARRAY(DropDown!$A$1)</xm:f>
          </x14:formula1>
          <xm:sqref>B2:F2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E1C84-5810-4F24-9D6F-E512DD74DAD6}">
  <sheetPr codeName="Sheet2"/>
  <dimension ref="A1:AK38"/>
  <sheetViews>
    <sheetView workbookViewId="0"/>
  </sheetViews>
  <sheetFormatPr defaultRowHeight="14.4" x14ac:dyDescent="0.3"/>
  <cols>
    <col min="1" max="1" width="10.6640625" bestFit="1" customWidth="1"/>
    <col min="2" max="2" width="13.44140625" bestFit="1" customWidth="1"/>
    <col min="3" max="3" width="13" bestFit="1" customWidth="1"/>
    <col min="4" max="4" width="18.109375" bestFit="1" customWidth="1"/>
    <col min="5" max="5" width="18" bestFit="1" customWidth="1"/>
    <col min="6" max="6" width="18.88671875" bestFit="1" customWidth="1"/>
    <col min="7" max="7" width="20" bestFit="1" customWidth="1"/>
    <col min="8" max="8" width="15.44140625" bestFit="1" customWidth="1"/>
    <col min="9" max="9" width="14.88671875" bestFit="1" customWidth="1"/>
    <col min="10" max="10" width="26.5546875" bestFit="1" customWidth="1"/>
    <col min="11" max="11" width="13.33203125" bestFit="1" customWidth="1"/>
    <col min="12" max="12" width="7.44140625" bestFit="1" customWidth="1"/>
    <col min="13" max="13" width="37.6640625" bestFit="1" customWidth="1"/>
    <col min="14" max="14" width="12.5546875" bestFit="1" customWidth="1"/>
    <col min="15" max="15" width="16.88671875" bestFit="1" customWidth="1"/>
    <col min="16" max="16" width="16" bestFit="1" customWidth="1"/>
    <col min="17" max="17" width="22.33203125" bestFit="1" customWidth="1"/>
    <col min="18" max="18" width="13.6640625" bestFit="1" customWidth="1"/>
    <col min="19" max="19" width="31" bestFit="1" customWidth="1"/>
    <col min="20" max="20" width="27" bestFit="1" customWidth="1"/>
    <col min="21" max="21" width="15.88671875" bestFit="1" customWidth="1"/>
    <col min="22" max="22" width="15.6640625" bestFit="1" customWidth="1"/>
    <col min="23" max="23" width="15.109375" bestFit="1" customWidth="1"/>
    <col min="24" max="24" width="15.5546875" bestFit="1" customWidth="1"/>
    <col min="25" max="26" width="15.109375" bestFit="1" customWidth="1"/>
    <col min="27" max="27" width="10.33203125" bestFit="1" customWidth="1"/>
    <col min="28" max="28" width="10" bestFit="1" customWidth="1"/>
    <col min="29" max="29" width="18.109375" bestFit="1" customWidth="1"/>
    <col min="30" max="30" width="17" bestFit="1" customWidth="1"/>
    <col min="31" max="32" width="19.88671875" bestFit="1" customWidth="1"/>
    <col min="33" max="33" width="12.44140625" bestFit="1" customWidth="1"/>
    <col min="34" max="34" width="11.6640625" bestFit="1" customWidth="1"/>
    <col min="35" max="35" width="20.44140625" bestFit="1" customWidth="1"/>
    <col min="36" max="36" width="29.6640625" bestFit="1" customWidth="1"/>
    <col min="37" max="37" width="18.6640625" bestFit="1" customWidth="1"/>
    <col min="38" max="38" width="19.33203125" bestFit="1" customWidth="1"/>
    <col min="39" max="39" width="18" bestFit="1" customWidth="1"/>
    <col min="40" max="40" width="11.33203125" bestFit="1" customWidth="1"/>
    <col min="41" max="41" width="19.33203125" bestFit="1" customWidth="1"/>
    <col min="42" max="42" width="18" bestFit="1" customWidth="1"/>
    <col min="43" max="43" width="10.6640625" bestFit="1" customWidth="1"/>
    <col min="44" max="44" width="14.6640625" bestFit="1" customWidth="1"/>
    <col min="45" max="45" width="13.6640625" bestFit="1" customWidth="1"/>
    <col min="46" max="46" width="8.88671875" bestFit="1" customWidth="1"/>
    <col min="47" max="47" width="16" bestFit="1" customWidth="1"/>
    <col min="48" max="48" width="18.109375" bestFit="1" customWidth="1"/>
    <col min="49" max="49" width="17" bestFit="1" customWidth="1"/>
    <col min="50" max="51" width="18.44140625" bestFit="1" customWidth="1"/>
    <col min="52" max="52" width="17.44140625" bestFit="1" customWidth="1"/>
    <col min="53" max="53" width="11.6640625" bestFit="1" customWidth="1"/>
    <col min="54" max="54" width="12.44140625" bestFit="1" customWidth="1"/>
    <col min="55" max="55" width="22.109375" bestFit="1" customWidth="1"/>
    <col min="56" max="56" width="18.5546875" bestFit="1" customWidth="1"/>
    <col min="57" max="57" width="11.44140625" bestFit="1" customWidth="1"/>
    <col min="58" max="58" width="15.5546875" bestFit="1" customWidth="1"/>
    <col min="59" max="59" width="14.33203125" bestFit="1" customWidth="1"/>
    <col min="60" max="60" width="10" bestFit="1" customWidth="1"/>
    <col min="61" max="61" width="18.5546875" bestFit="1" customWidth="1"/>
    <col min="62" max="62" width="18.33203125" bestFit="1" customWidth="1"/>
    <col min="63" max="63" width="11.5546875" bestFit="1" customWidth="1"/>
    <col min="64" max="64" width="10.6640625" bestFit="1" customWidth="1"/>
    <col min="65" max="65" width="22.33203125" bestFit="1" customWidth="1"/>
  </cols>
  <sheetData>
    <row r="1" spans="1:37" x14ac:dyDescent="0.3">
      <c r="A1" t="s">
        <v>138</v>
      </c>
      <c r="B1" t="s">
        <v>139</v>
      </c>
      <c r="C1" t="s">
        <v>140</v>
      </c>
      <c r="D1" t="s">
        <v>141</v>
      </c>
      <c r="E1" t="s">
        <v>125</v>
      </c>
      <c r="F1" t="s">
        <v>126</v>
      </c>
      <c r="G1" t="s">
        <v>142</v>
      </c>
      <c r="H1" t="s">
        <v>143</v>
      </c>
      <c r="I1" t="s">
        <v>116</v>
      </c>
      <c r="J1" t="s">
        <v>144</v>
      </c>
      <c r="K1" t="s">
        <v>145</v>
      </c>
      <c r="L1" t="s">
        <v>24</v>
      </c>
      <c r="M1" t="s">
        <v>149</v>
      </c>
      <c r="N1" t="s">
        <v>150</v>
      </c>
      <c r="O1" t="s">
        <v>151</v>
      </c>
      <c r="P1" t="s">
        <v>152</v>
      </c>
      <c r="Q1" t="s">
        <v>153</v>
      </c>
      <c r="R1" t="s">
        <v>154</v>
      </c>
      <c r="S1" t="s">
        <v>155</v>
      </c>
      <c r="T1" t="s">
        <v>156</v>
      </c>
      <c r="U1" t="s">
        <v>157</v>
      </c>
      <c r="V1" t="s">
        <v>158</v>
      </c>
      <c r="W1" t="s">
        <v>159</v>
      </c>
      <c r="X1" t="s">
        <v>160</v>
      </c>
      <c r="Y1" t="s">
        <v>161</v>
      </c>
      <c r="Z1" t="s">
        <v>162</v>
      </c>
      <c r="AA1" t="s">
        <v>163</v>
      </c>
      <c r="AB1" t="s">
        <v>114</v>
      </c>
      <c r="AC1" t="s">
        <v>5</v>
      </c>
      <c r="AD1" t="s">
        <v>6</v>
      </c>
      <c r="AE1" t="s">
        <v>8</v>
      </c>
      <c r="AF1" t="s">
        <v>9</v>
      </c>
      <c r="AG1" t="s">
        <v>10</v>
      </c>
      <c r="AH1" t="s">
        <v>164</v>
      </c>
      <c r="AI1" t="s">
        <v>165</v>
      </c>
      <c r="AJ1" t="s">
        <v>166</v>
      </c>
      <c r="AK1" t="s">
        <v>7</v>
      </c>
    </row>
    <row r="2" spans="1:37" hidden="1" x14ac:dyDescent="0.3">
      <c r="A2" s="2">
        <v>45642</v>
      </c>
      <c r="B2" t="s">
        <v>362</v>
      </c>
      <c r="C2" t="s">
        <v>363</v>
      </c>
      <c r="D2">
        <v>28</v>
      </c>
      <c r="E2">
        <v>0.83720930232558144</v>
      </c>
      <c r="F2">
        <v>0</v>
      </c>
      <c r="G2">
        <v>40.08</v>
      </c>
      <c r="H2">
        <v>0.34</v>
      </c>
      <c r="I2">
        <v>39.739999999999995</v>
      </c>
      <c r="J2">
        <v>544.97</v>
      </c>
      <c r="K2">
        <v>22.6</v>
      </c>
      <c r="L2">
        <v>0</v>
      </c>
      <c r="M2" t="s">
        <v>364</v>
      </c>
      <c r="N2">
        <v>5</v>
      </c>
      <c r="O2">
        <v>23</v>
      </c>
      <c r="P2">
        <v>38.19</v>
      </c>
      <c r="Q2">
        <v>2</v>
      </c>
      <c r="R2">
        <v>1.56</v>
      </c>
      <c r="S2">
        <v>17.850000000000001</v>
      </c>
      <c r="T2">
        <v>17.45</v>
      </c>
      <c r="U2">
        <v>0.7</v>
      </c>
      <c r="V2">
        <v>36</v>
      </c>
      <c r="W2">
        <v>5</v>
      </c>
      <c r="X2">
        <v>0</v>
      </c>
      <c r="Y2">
        <v>0</v>
      </c>
      <c r="Z2">
        <v>0</v>
      </c>
      <c r="AA2">
        <v>39.739999999999995</v>
      </c>
      <c r="AB2" t="s">
        <v>12</v>
      </c>
      <c r="AC2">
        <v>70</v>
      </c>
      <c r="AD2">
        <v>20</v>
      </c>
      <c r="AE2">
        <v>0.1</v>
      </c>
      <c r="AF2">
        <v>0.05</v>
      </c>
      <c r="AH2">
        <v>0</v>
      </c>
      <c r="AI2" t="s">
        <v>167</v>
      </c>
      <c r="AJ2" t="s">
        <v>48</v>
      </c>
      <c r="AK2">
        <v>0.7</v>
      </c>
    </row>
    <row r="3" spans="1:37" hidden="1" x14ac:dyDescent="0.3">
      <c r="A3" s="2">
        <v>45649</v>
      </c>
      <c r="B3" t="s">
        <v>362</v>
      </c>
      <c r="C3" t="s">
        <v>363</v>
      </c>
      <c r="D3">
        <v>15</v>
      </c>
      <c r="E3">
        <v>0.69387755102040816</v>
      </c>
      <c r="F3">
        <v>8.8235294117647065E-2</v>
      </c>
      <c r="G3">
        <v>30.27</v>
      </c>
      <c r="H3">
        <v>0.1</v>
      </c>
      <c r="I3">
        <v>30.169999999999998</v>
      </c>
      <c r="J3">
        <v>138.26999999999899</v>
      </c>
      <c r="K3">
        <v>4</v>
      </c>
      <c r="L3">
        <v>0</v>
      </c>
      <c r="M3" t="s">
        <v>364</v>
      </c>
      <c r="N3">
        <v>1</v>
      </c>
      <c r="O3">
        <v>14</v>
      </c>
      <c r="P3">
        <v>24.43</v>
      </c>
      <c r="Q3">
        <v>1</v>
      </c>
      <c r="R3">
        <v>5.74</v>
      </c>
      <c r="S3">
        <v>17.36</v>
      </c>
      <c r="T3">
        <v>12.53</v>
      </c>
      <c r="U3">
        <v>0.5</v>
      </c>
      <c r="V3">
        <v>34</v>
      </c>
      <c r="W3">
        <v>14</v>
      </c>
      <c r="X3">
        <v>3</v>
      </c>
      <c r="Y3">
        <v>0</v>
      </c>
      <c r="Z3">
        <v>0</v>
      </c>
      <c r="AA3">
        <v>30.169999999999998</v>
      </c>
      <c r="AB3" t="s">
        <v>13</v>
      </c>
      <c r="AC3">
        <v>70</v>
      </c>
      <c r="AD3">
        <v>20</v>
      </c>
      <c r="AE3">
        <v>0.1</v>
      </c>
      <c r="AF3">
        <v>0.05</v>
      </c>
      <c r="AH3">
        <v>0</v>
      </c>
      <c r="AI3" t="s">
        <v>167</v>
      </c>
      <c r="AJ3" t="s">
        <v>48</v>
      </c>
      <c r="AK3">
        <v>0.7</v>
      </c>
    </row>
    <row r="4" spans="1:37" hidden="1" x14ac:dyDescent="0.3">
      <c r="A4" s="2">
        <v>45642</v>
      </c>
      <c r="B4" t="s">
        <v>329</v>
      </c>
      <c r="C4" t="s">
        <v>330</v>
      </c>
      <c r="D4">
        <v>26</v>
      </c>
      <c r="E4">
        <v>1</v>
      </c>
      <c r="F4">
        <v>0</v>
      </c>
      <c r="G4">
        <v>20.079999999999998</v>
      </c>
      <c r="H4">
        <v>0</v>
      </c>
      <c r="I4">
        <v>20.079999999999998</v>
      </c>
      <c r="J4">
        <v>286.83999999999997</v>
      </c>
      <c r="K4">
        <v>12</v>
      </c>
      <c r="L4">
        <v>0</v>
      </c>
      <c r="M4" t="s">
        <v>331</v>
      </c>
      <c r="N4">
        <v>0</v>
      </c>
      <c r="O4">
        <v>26</v>
      </c>
      <c r="P4">
        <v>11.13</v>
      </c>
      <c r="Q4">
        <v>0</v>
      </c>
      <c r="R4">
        <v>8.94</v>
      </c>
      <c r="S4">
        <v>0.68</v>
      </c>
      <c r="T4">
        <v>0.68</v>
      </c>
      <c r="U4">
        <v>1.29</v>
      </c>
      <c r="V4">
        <v>26</v>
      </c>
      <c r="W4">
        <v>0</v>
      </c>
      <c r="X4">
        <v>0</v>
      </c>
      <c r="Y4">
        <v>20.079999999999998</v>
      </c>
      <c r="Z4">
        <v>0</v>
      </c>
      <c r="AA4">
        <v>0</v>
      </c>
      <c r="AB4" t="s">
        <v>12</v>
      </c>
      <c r="AC4">
        <v>70</v>
      </c>
      <c r="AD4">
        <v>20</v>
      </c>
      <c r="AE4">
        <v>0.1</v>
      </c>
      <c r="AF4">
        <v>0.05</v>
      </c>
      <c r="AH4">
        <v>20.079999999999998</v>
      </c>
      <c r="AI4" t="s">
        <v>239</v>
      </c>
      <c r="AJ4" t="s">
        <v>48</v>
      </c>
      <c r="AK4">
        <v>0.7</v>
      </c>
    </row>
    <row r="5" spans="1:37" hidden="1" x14ac:dyDescent="0.3">
      <c r="A5" s="2">
        <v>45649</v>
      </c>
      <c r="B5" t="s">
        <v>329</v>
      </c>
      <c r="C5" t="s">
        <v>330</v>
      </c>
      <c r="D5">
        <v>36</v>
      </c>
      <c r="E5">
        <v>1</v>
      </c>
      <c r="F5">
        <v>0</v>
      </c>
      <c r="G5">
        <v>32.47</v>
      </c>
      <c r="H5">
        <v>0</v>
      </c>
      <c r="I5">
        <v>32.47</v>
      </c>
      <c r="J5">
        <v>336.63</v>
      </c>
      <c r="K5">
        <v>10</v>
      </c>
      <c r="L5">
        <v>0</v>
      </c>
      <c r="M5" t="s">
        <v>331</v>
      </c>
      <c r="N5">
        <v>0</v>
      </c>
      <c r="O5">
        <v>36</v>
      </c>
      <c r="P5">
        <v>14.66</v>
      </c>
      <c r="Q5">
        <v>0</v>
      </c>
      <c r="R5">
        <v>17.809999999999999</v>
      </c>
      <c r="S5">
        <v>11.39</v>
      </c>
      <c r="T5">
        <v>9.06</v>
      </c>
      <c r="U5">
        <v>1.1100000000000001</v>
      </c>
      <c r="V5">
        <v>37</v>
      </c>
      <c r="W5">
        <v>0</v>
      </c>
      <c r="X5">
        <v>0</v>
      </c>
      <c r="Y5">
        <v>32.47</v>
      </c>
      <c r="Z5">
        <v>0</v>
      </c>
      <c r="AA5">
        <v>0</v>
      </c>
      <c r="AB5" t="s">
        <v>13</v>
      </c>
      <c r="AC5">
        <v>70</v>
      </c>
      <c r="AD5">
        <v>20</v>
      </c>
      <c r="AE5">
        <v>0.1</v>
      </c>
      <c r="AF5">
        <v>0.05</v>
      </c>
      <c r="AH5">
        <v>32.47</v>
      </c>
      <c r="AI5" t="s">
        <v>239</v>
      </c>
      <c r="AJ5" t="s">
        <v>48</v>
      </c>
      <c r="AK5">
        <v>0.7</v>
      </c>
    </row>
    <row r="6" spans="1:37" hidden="1" x14ac:dyDescent="0.3">
      <c r="A6" s="2">
        <v>45642</v>
      </c>
      <c r="B6" t="s">
        <v>318</v>
      </c>
      <c r="C6" t="s">
        <v>319</v>
      </c>
      <c r="D6">
        <v>55</v>
      </c>
      <c r="E6">
        <v>1</v>
      </c>
      <c r="F6">
        <v>0</v>
      </c>
      <c r="G6">
        <v>31.44</v>
      </c>
      <c r="H6">
        <v>0</v>
      </c>
      <c r="I6">
        <v>31.44</v>
      </c>
      <c r="J6">
        <v>757.8</v>
      </c>
      <c r="K6">
        <v>35</v>
      </c>
      <c r="L6">
        <v>0</v>
      </c>
      <c r="M6" t="s">
        <v>352</v>
      </c>
      <c r="N6">
        <v>7</v>
      </c>
      <c r="O6">
        <v>48</v>
      </c>
      <c r="P6">
        <v>29.11</v>
      </c>
      <c r="Q6">
        <v>0</v>
      </c>
      <c r="R6">
        <v>2.34</v>
      </c>
      <c r="S6">
        <v>21.74</v>
      </c>
      <c r="T6">
        <v>20.3</v>
      </c>
      <c r="U6">
        <v>1.75</v>
      </c>
      <c r="V6">
        <v>66</v>
      </c>
      <c r="W6">
        <v>0</v>
      </c>
      <c r="X6">
        <v>0</v>
      </c>
      <c r="Y6">
        <v>31.44</v>
      </c>
      <c r="Z6">
        <v>0</v>
      </c>
      <c r="AA6">
        <v>0</v>
      </c>
      <c r="AB6" t="s">
        <v>12</v>
      </c>
      <c r="AC6">
        <v>70</v>
      </c>
      <c r="AD6">
        <v>20</v>
      </c>
      <c r="AE6">
        <v>0.1</v>
      </c>
      <c r="AF6">
        <v>0.05</v>
      </c>
      <c r="AH6">
        <v>31.44</v>
      </c>
      <c r="AI6" t="s">
        <v>168</v>
      </c>
      <c r="AJ6" t="s">
        <v>37</v>
      </c>
      <c r="AK6">
        <v>0.7</v>
      </c>
    </row>
    <row r="7" spans="1:37" hidden="1" x14ac:dyDescent="0.3">
      <c r="A7" s="2">
        <v>45649</v>
      </c>
      <c r="B7" t="s">
        <v>318</v>
      </c>
      <c r="C7" t="s">
        <v>319</v>
      </c>
      <c r="D7">
        <v>63</v>
      </c>
      <c r="E7">
        <v>1</v>
      </c>
      <c r="F7">
        <v>1.4492753623188406E-2</v>
      </c>
      <c r="G7">
        <v>32.17</v>
      </c>
      <c r="H7">
        <v>0</v>
      </c>
      <c r="I7">
        <v>32.17</v>
      </c>
      <c r="J7">
        <v>640.93999999999903</v>
      </c>
      <c r="K7">
        <v>58</v>
      </c>
      <c r="L7">
        <v>0</v>
      </c>
      <c r="M7" t="s">
        <v>352</v>
      </c>
      <c r="N7">
        <v>16</v>
      </c>
      <c r="O7">
        <v>47</v>
      </c>
      <c r="P7">
        <v>29.03</v>
      </c>
      <c r="Q7">
        <v>0</v>
      </c>
      <c r="R7">
        <v>3.14</v>
      </c>
      <c r="S7">
        <v>26.13</v>
      </c>
      <c r="T7">
        <v>24.71</v>
      </c>
      <c r="U7">
        <v>1.96</v>
      </c>
      <c r="V7">
        <v>69</v>
      </c>
      <c r="W7">
        <v>0</v>
      </c>
      <c r="X7">
        <v>1</v>
      </c>
      <c r="Y7">
        <v>32.17</v>
      </c>
      <c r="Z7">
        <v>0</v>
      </c>
      <c r="AA7">
        <v>0</v>
      </c>
      <c r="AB7" t="s">
        <v>13</v>
      </c>
      <c r="AC7">
        <v>70</v>
      </c>
      <c r="AD7">
        <v>20</v>
      </c>
      <c r="AE7">
        <v>0.1</v>
      </c>
      <c r="AF7">
        <v>0.05</v>
      </c>
      <c r="AH7">
        <v>32.17</v>
      </c>
      <c r="AI7" t="s">
        <v>168</v>
      </c>
      <c r="AJ7" t="s">
        <v>37</v>
      </c>
      <c r="AK7">
        <v>0.7</v>
      </c>
    </row>
    <row r="8" spans="1:37" hidden="1" x14ac:dyDescent="0.3">
      <c r="A8" s="2">
        <v>45649</v>
      </c>
      <c r="B8" t="s">
        <v>366</v>
      </c>
      <c r="C8" t="s">
        <v>367</v>
      </c>
      <c r="D8">
        <v>55</v>
      </c>
      <c r="E8">
        <v>0.93939393939393945</v>
      </c>
      <c r="F8">
        <v>1.6129032258064516E-2</v>
      </c>
      <c r="G8">
        <v>36.31</v>
      </c>
      <c r="H8">
        <v>7.0000000000000007E-2</v>
      </c>
      <c r="I8">
        <v>36.24</v>
      </c>
      <c r="J8">
        <v>677.27</v>
      </c>
      <c r="K8">
        <v>74</v>
      </c>
      <c r="L8">
        <v>0</v>
      </c>
      <c r="M8" t="s">
        <v>368</v>
      </c>
      <c r="N8">
        <v>16</v>
      </c>
      <c r="O8">
        <v>39</v>
      </c>
      <c r="P8">
        <v>31.95</v>
      </c>
      <c r="Q8">
        <v>4</v>
      </c>
      <c r="R8">
        <v>4.29</v>
      </c>
      <c r="S8">
        <v>30.92</v>
      </c>
      <c r="T8">
        <v>28.2</v>
      </c>
      <c r="U8">
        <v>1.51</v>
      </c>
      <c r="V8">
        <v>62</v>
      </c>
      <c r="W8">
        <v>0</v>
      </c>
      <c r="X8">
        <v>1</v>
      </c>
      <c r="Y8">
        <v>0</v>
      </c>
      <c r="Z8">
        <v>0</v>
      </c>
      <c r="AA8">
        <v>36.24</v>
      </c>
      <c r="AB8" t="s">
        <v>13</v>
      </c>
      <c r="AC8">
        <v>70</v>
      </c>
      <c r="AD8">
        <v>20</v>
      </c>
      <c r="AE8">
        <v>0.1</v>
      </c>
      <c r="AF8">
        <v>0.05</v>
      </c>
      <c r="AH8">
        <v>0</v>
      </c>
      <c r="AI8" t="s">
        <v>323</v>
      </c>
      <c r="AJ8" t="s">
        <v>65</v>
      </c>
      <c r="AK8">
        <v>0.7</v>
      </c>
    </row>
    <row r="9" spans="1:37" hidden="1" x14ac:dyDescent="0.3">
      <c r="A9" s="2">
        <v>45642</v>
      </c>
      <c r="B9" t="s">
        <v>309</v>
      </c>
      <c r="C9" t="s">
        <v>310</v>
      </c>
      <c r="D9">
        <v>54</v>
      </c>
      <c r="E9">
        <v>0.98484848484848486</v>
      </c>
      <c r="F9">
        <v>0.1076923076923077</v>
      </c>
      <c r="G9">
        <v>29.31</v>
      </c>
      <c r="H9">
        <v>0.19</v>
      </c>
      <c r="I9">
        <v>29.119999999999997</v>
      </c>
      <c r="J9">
        <v>726.51</v>
      </c>
      <c r="K9">
        <v>16</v>
      </c>
      <c r="L9">
        <v>0</v>
      </c>
      <c r="M9" t="s">
        <v>333</v>
      </c>
      <c r="N9">
        <v>4</v>
      </c>
      <c r="O9">
        <v>50</v>
      </c>
      <c r="P9">
        <v>27.39</v>
      </c>
      <c r="Q9">
        <v>1</v>
      </c>
      <c r="R9">
        <v>1.72</v>
      </c>
      <c r="S9">
        <v>19.59</v>
      </c>
      <c r="T9">
        <v>17.87</v>
      </c>
      <c r="U9">
        <v>1.84</v>
      </c>
      <c r="V9">
        <v>65</v>
      </c>
      <c r="W9">
        <v>0</v>
      </c>
      <c r="X9">
        <v>7</v>
      </c>
      <c r="Y9">
        <v>0</v>
      </c>
      <c r="Z9">
        <v>0</v>
      </c>
      <c r="AA9">
        <v>29.119999999999997</v>
      </c>
      <c r="AB9" t="s">
        <v>12</v>
      </c>
      <c r="AC9">
        <v>70</v>
      </c>
      <c r="AD9">
        <v>20</v>
      </c>
      <c r="AE9">
        <v>0.1</v>
      </c>
      <c r="AF9">
        <v>0.05</v>
      </c>
      <c r="AH9">
        <v>0</v>
      </c>
      <c r="AI9" t="s">
        <v>170</v>
      </c>
      <c r="AJ9" t="s">
        <v>37</v>
      </c>
      <c r="AK9">
        <v>0.7</v>
      </c>
    </row>
    <row r="10" spans="1:37" hidden="1" x14ac:dyDescent="0.3">
      <c r="A10" s="2">
        <v>45649</v>
      </c>
      <c r="B10" t="s">
        <v>309</v>
      </c>
      <c r="C10" t="s">
        <v>310</v>
      </c>
      <c r="D10">
        <v>47</v>
      </c>
      <c r="E10">
        <v>0.9821428571428571</v>
      </c>
      <c r="F10">
        <v>0.10909090909090909</v>
      </c>
      <c r="G10">
        <v>23.65</v>
      </c>
      <c r="H10">
        <v>0.11</v>
      </c>
      <c r="I10">
        <v>23.54</v>
      </c>
      <c r="J10">
        <v>483.17999999999898</v>
      </c>
      <c r="K10">
        <v>14</v>
      </c>
      <c r="L10">
        <v>0</v>
      </c>
      <c r="M10" t="s">
        <v>333</v>
      </c>
      <c r="N10">
        <v>7</v>
      </c>
      <c r="O10">
        <v>40</v>
      </c>
      <c r="P10">
        <v>21.52</v>
      </c>
      <c r="Q10">
        <v>1</v>
      </c>
      <c r="R10">
        <v>2.02</v>
      </c>
      <c r="S10">
        <v>14.35</v>
      </c>
      <c r="T10">
        <v>12.96</v>
      </c>
      <c r="U10">
        <v>1.99</v>
      </c>
      <c r="V10">
        <v>55</v>
      </c>
      <c r="W10">
        <v>0</v>
      </c>
      <c r="X10">
        <v>6</v>
      </c>
      <c r="Y10">
        <v>0</v>
      </c>
      <c r="Z10">
        <v>0</v>
      </c>
      <c r="AA10">
        <v>23.54</v>
      </c>
      <c r="AB10" t="s">
        <v>13</v>
      </c>
      <c r="AC10">
        <v>70</v>
      </c>
      <c r="AD10">
        <v>20</v>
      </c>
      <c r="AE10">
        <v>0.1</v>
      </c>
      <c r="AF10">
        <v>0.05</v>
      </c>
      <c r="AH10">
        <v>0</v>
      </c>
      <c r="AI10" t="s">
        <v>170</v>
      </c>
      <c r="AJ10" t="s">
        <v>37</v>
      </c>
      <c r="AK10">
        <v>0.7</v>
      </c>
    </row>
    <row r="11" spans="1:37" hidden="1" x14ac:dyDescent="0.3">
      <c r="A11" s="2">
        <v>45642</v>
      </c>
      <c r="B11" t="s">
        <v>326</v>
      </c>
      <c r="C11" t="s">
        <v>327</v>
      </c>
      <c r="D11">
        <v>51</v>
      </c>
      <c r="E11">
        <v>1</v>
      </c>
      <c r="F11">
        <v>3.125E-2</v>
      </c>
      <c r="G11">
        <v>23.63</v>
      </c>
      <c r="H11">
        <v>0</v>
      </c>
      <c r="I11">
        <v>23.63</v>
      </c>
      <c r="J11">
        <v>557.66</v>
      </c>
      <c r="K11">
        <v>9</v>
      </c>
      <c r="L11">
        <v>0</v>
      </c>
      <c r="M11" t="s">
        <v>328</v>
      </c>
      <c r="N11">
        <v>0</v>
      </c>
      <c r="O11">
        <v>51</v>
      </c>
      <c r="P11">
        <v>22.86</v>
      </c>
      <c r="Q11">
        <v>0</v>
      </c>
      <c r="R11">
        <v>0.77</v>
      </c>
      <c r="S11">
        <v>12.02</v>
      </c>
      <c r="T11">
        <v>11.58</v>
      </c>
      <c r="U11">
        <v>2.16</v>
      </c>
      <c r="V11">
        <v>64</v>
      </c>
      <c r="W11">
        <v>0</v>
      </c>
      <c r="X11">
        <v>2</v>
      </c>
      <c r="Y11">
        <v>23.63</v>
      </c>
      <c r="Z11">
        <v>0</v>
      </c>
      <c r="AA11">
        <v>0</v>
      </c>
      <c r="AB11" t="s">
        <v>12</v>
      </c>
      <c r="AC11">
        <v>70</v>
      </c>
      <c r="AD11">
        <v>20</v>
      </c>
      <c r="AE11">
        <v>0.1</v>
      </c>
      <c r="AF11">
        <v>0.05</v>
      </c>
      <c r="AH11">
        <v>23.63</v>
      </c>
      <c r="AI11" t="s">
        <v>171</v>
      </c>
      <c r="AJ11" t="s">
        <v>34</v>
      </c>
      <c r="AK11">
        <v>0.7</v>
      </c>
    </row>
    <row r="12" spans="1:37" hidden="1" x14ac:dyDescent="0.3">
      <c r="A12" s="2">
        <v>45649</v>
      </c>
      <c r="B12" t="s">
        <v>326</v>
      </c>
      <c r="C12" t="s">
        <v>327</v>
      </c>
      <c r="D12">
        <v>59</v>
      </c>
      <c r="E12">
        <v>1</v>
      </c>
      <c r="F12">
        <v>0</v>
      </c>
      <c r="G12">
        <v>24.35</v>
      </c>
      <c r="H12">
        <v>0</v>
      </c>
      <c r="I12">
        <v>24.35</v>
      </c>
      <c r="J12">
        <v>515.36</v>
      </c>
      <c r="K12">
        <v>70</v>
      </c>
      <c r="L12">
        <v>0</v>
      </c>
      <c r="M12" t="s">
        <v>328</v>
      </c>
      <c r="N12">
        <v>0</v>
      </c>
      <c r="O12">
        <v>59</v>
      </c>
      <c r="P12">
        <v>22.59</v>
      </c>
      <c r="Q12">
        <v>0</v>
      </c>
      <c r="R12">
        <v>1.75</v>
      </c>
      <c r="S12">
        <v>0</v>
      </c>
      <c r="T12">
        <v>0</v>
      </c>
      <c r="U12">
        <v>2.42</v>
      </c>
      <c r="V12">
        <v>68</v>
      </c>
      <c r="W12">
        <v>0</v>
      </c>
      <c r="X12">
        <v>0</v>
      </c>
      <c r="Y12">
        <v>24.35</v>
      </c>
      <c r="Z12">
        <v>0</v>
      </c>
      <c r="AA12">
        <v>0</v>
      </c>
      <c r="AB12" t="s">
        <v>13</v>
      </c>
      <c r="AC12">
        <v>70</v>
      </c>
      <c r="AD12">
        <v>20</v>
      </c>
      <c r="AE12">
        <v>0.1</v>
      </c>
      <c r="AF12">
        <v>0.05</v>
      </c>
      <c r="AH12">
        <v>24.35</v>
      </c>
      <c r="AI12" t="s">
        <v>171</v>
      </c>
      <c r="AJ12" t="s">
        <v>34</v>
      </c>
      <c r="AK12">
        <v>0.7</v>
      </c>
    </row>
    <row r="13" spans="1:37" hidden="1" x14ac:dyDescent="0.3">
      <c r="A13" s="2">
        <v>45642</v>
      </c>
      <c r="B13" t="s">
        <v>335</v>
      </c>
      <c r="C13" t="s">
        <v>336</v>
      </c>
      <c r="D13">
        <v>107</v>
      </c>
      <c r="E13">
        <v>1</v>
      </c>
      <c r="F13">
        <v>8.1967213114754103E-3</v>
      </c>
      <c r="G13">
        <v>52.01</v>
      </c>
      <c r="H13">
        <v>0</v>
      </c>
      <c r="I13">
        <v>52.01</v>
      </c>
      <c r="J13">
        <v>1174.1899999999901</v>
      </c>
      <c r="K13">
        <v>37.380000000000003</v>
      </c>
      <c r="L13">
        <v>0</v>
      </c>
      <c r="M13" t="s">
        <v>337</v>
      </c>
      <c r="N13">
        <v>25</v>
      </c>
      <c r="O13">
        <v>82</v>
      </c>
      <c r="P13">
        <v>47.07</v>
      </c>
      <c r="Q13">
        <v>0</v>
      </c>
      <c r="R13">
        <v>4.93</v>
      </c>
      <c r="S13">
        <v>2.96</v>
      </c>
      <c r="T13">
        <v>2.69</v>
      </c>
      <c r="U13">
        <v>2.06</v>
      </c>
      <c r="V13">
        <v>122</v>
      </c>
      <c r="W13">
        <v>0</v>
      </c>
      <c r="X13">
        <v>1</v>
      </c>
      <c r="Y13">
        <v>52.01</v>
      </c>
      <c r="Z13">
        <v>0</v>
      </c>
      <c r="AA13">
        <v>0</v>
      </c>
      <c r="AB13" t="s">
        <v>12</v>
      </c>
      <c r="AC13">
        <v>70</v>
      </c>
      <c r="AD13">
        <v>20</v>
      </c>
      <c r="AE13">
        <v>0.1</v>
      </c>
      <c r="AF13">
        <v>0.05</v>
      </c>
      <c r="AH13">
        <v>52.01</v>
      </c>
      <c r="AI13" t="s">
        <v>172</v>
      </c>
      <c r="AJ13" t="s">
        <v>48</v>
      </c>
      <c r="AK13">
        <v>0.7</v>
      </c>
    </row>
    <row r="14" spans="1:37" hidden="1" x14ac:dyDescent="0.3">
      <c r="A14" s="2">
        <v>45649</v>
      </c>
      <c r="B14" t="s">
        <v>335</v>
      </c>
      <c r="C14" t="s">
        <v>336</v>
      </c>
      <c r="D14">
        <v>85</v>
      </c>
      <c r="E14">
        <v>1</v>
      </c>
      <c r="F14">
        <v>9.3457943925233638E-3</v>
      </c>
      <c r="G14">
        <v>50.58</v>
      </c>
      <c r="H14">
        <v>0</v>
      </c>
      <c r="I14">
        <v>50.58</v>
      </c>
      <c r="J14">
        <v>924.25</v>
      </c>
      <c r="K14">
        <v>8.7799999999999994</v>
      </c>
      <c r="L14">
        <v>0</v>
      </c>
      <c r="M14" t="s">
        <v>337</v>
      </c>
      <c r="N14">
        <v>16</v>
      </c>
      <c r="O14">
        <v>69</v>
      </c>
      <c r="P14">
        <v>41.98</v>
      </c>
      <c r="Q14">
        <v>0</v>
      </c>
      <c r="R14">
        <v>8.59</v>
      </c>
      <c r="S14">
        <v>6.94</v>
      </c>
      <c r="T14">
        <v>6.14</v>
      </c>
      <c r="U14">
        <v>1.68</v>
      </c>
      <c r="V14">
        <v>107</v>
      </c>
      <c r="W14">
        <v>0</v>
      </c>
      <c r="X14">
        <v>1</v>
      </c>
      <c r="Y14">
        <v>50.58</v>
      </c>
      <c r="Z14">
        <v>0</v>
      </c>
      <c r="AA14">
        <v>0</v>
      </c>
      <c r="AB14" t="s">
        <v>13</v>
      </c>
      <c r="AC14">
        <v>70</v>
      </c>
      <c r="AD14">
        <v>20</v>
      </c>
      <c r="AE14">
        <v>0.1</v>
      </c>
      <c r="AF14">
        <v>0.05</v>
      </c>
      <c r="AH14">
        <v>50.58</v>
      </c>
      <c r="AI14" t="s">
        <v>172</v>
      </c>
      <c r="AJ14" t="s">
        <v>48</v>
      </c>
      <c r="AK14">
        <v>0.7</v>
      </c>
    </row>
    <row r="15" spans="1:37" hidden="1" x14ac:dyDescent="0.3">
      <c r="A15" s="2">
        <v>45642</v>
      </c>
      <c r="B15" t="s">
        <v>311</v>
      </c>
      <c r="C15" t="s">
        <v>312</v>
      </c>
      <c r="D15">
        <v>55</v>
      </c>
      <c r="E15">
        <v>1</v>
      </c>
      <c r="F15">
        <v>3.5714285714285712E-2</v>
      </c>
      <c r="G15">
        <v>29.15</v>
      </c>
      <c r="H15">
        <v>0.02</v>
      </c>
      <c r="I15">
        <v>29.13</v>
      </c>
      <c r="J15">
        <v>580.85999999999899</v>
      </c>
      <c r="K15">
        <v>33</v>
      </c>
      <c r="L15">
        <v>0</v>
      </c>
      <c r="M15" t="s">
        <v>332</v>
      </c>
      <c r="N15">
        <v>5</v>
      </c>
      <c r="O15">
        <v>50</v>
      </c>
      <c r="P15">
        <v>23.72</v>
      </c>
      <c r="Q15">
        <v>0</v>
      </c>
      <c r="R15">
        <v>5.4</v>
      </c>
      <c r="S15">
        <v>4.8899999999999997</v>
      </c>
      <c r="T15">
        <v>4.82</v>
      </c>
      <c r="U15">
        <v>1.89</v>
      </c>
      <c r="V15">
        <v>56</v>
      </c>
      <c r="W15">
        <v>0</v>
      </c>
      <c r="X15">
        <v>2</v>
      </c>
      <c r="Y15">
        <v>29.13</v>
      </c>
      <c r="Z15">
        <v>0</v>
      </c>
      <c r="AA15">
        <v>0</v>
      </c>
      <c r="AB15" t="s">
        <v>12</v>
      </c>
      <c r="AC15">
        <v>70</v>
      </c>
      <c r="AD15">
        <v>20</v>
      </c>
      <c r="AE15">
        <v>0.1</v>
      </c>
      <c r="AF15">
        <v>0.05</v>
      </c>
      <c r="AH15">
        <v>29.13</v>
      </c>
      <c r="AI15" t="s">
        <v>174</v>
      </c>
      <c r="AJ15" t="s">
        <v>37</v>
      </c>
      <c r="AK15">
        <v>0.7</v>
      </c>
    </row>
    <row r="16" spans="1:37" hidden="1" x14ac:dyDescent="0.3">
      <c r="A16" s="2">
        <v>45649</v>
      </c>
      <c r="B16" t="s">
        <v>311</v>
      </c>
      <c r="C16" t="s">
        <v>312</v>
      </c>
      <c r="D16">
        <v>64</v>
      </c>
      <c r="E16">
        <v>1</v>
      </c>
      <c r="F16">
        <v>0</v>
      </c>
      <c r="G16">
        <v>36.380000000000003</v>
      </c>
      <c r="H16">
        <v>2.75</v>
      </c>
      <c r="I16">
        <v>33.630000000000003</v>
      </c>
      <c r="J16">
        <v>628.56999999999903</v>
      </c>
      <c r="K16">
        <v>22</v>
      </c>
      <c r="L16">
        <v>0</v>
      </c>
      <c r="M16" t="s">
        <v>332</v>
      </c>
      <c r="N16">
        <v>7</v>
      </c>
      <c r="O16">
        <v>57</v>
      </c>
      <c r="P16">
        <v>27.53</v>
      </c>
      <c r="Q16">
        <v>0</v>
      </c>
      <c r="R16">
        <v>6.09</v>
      </c>
      <c r="S16">
        <v>24.26</v>
      </c>
      <c r="T16">
        <v>18.27</v>
      </c>
      <c r="U16">
        <v>1.76</v>
      </c>
      <c r="V16">
        <v>67</v>
      </c>
      <c r="W16">
        <v>0</v>
      </c>
      <c r="X16">
        <v>0</v>
      </c>
      <c r="Y16">
        <v>33.630000000000003</v>
      </c>
      <c r="Z16">
        <v>0</v>
      </c>
      <c r="AA16">
        <v>0</v>
      </c>
      <c r="AB16" t="s">
        <v>13</v>
      </c>
      <c r="AC16">
        <v>70</v>
      </c>
      <c r="AD16">
        <v>20</v>
      </c>
      <c r="AE16">
        <v>0.1</v>
      </c>
      <c r="AF16">
        <v>0.05</v>
      </c>
      <c r="AH16">
        <v>33.630000000000003</v>
      </c>
      <c r="AI16" t="s">
        <v>174</v>
      </c>
      <c r="AJ16" t="s">
        <v>37</v>
      </c>
      <c r="AK16">
        <v>0.7</v>
      </c>
    </row>
    <row r="17" spans="1:37" hidden="1" x14ac:dyDescent="0.3">
      <c r="A17" s="2">
        <v>45642</v>
      </c>
      <c r="B17" t="s">
        <v>339</v>
      </c>
      <c r="C17" t="s">
        <v>340</v>
      </c>
      <c r="D17">
        <v>86</v>
      </c>
      <c r="E17">
        <v>1</v>
      </c>
      <c r="F17">
        <v>1.098901098901099E-2</v>
      </c>
      <c r="G17">
        <v>35.9</v>
      </c>
      <c r="H17">
        <v>0</v>
      </c>
      <c r="I17">
        <v>35.9</v>
      </c>
      <c r="J17">
        <v>794.14</v>
      </c>
      <c r="K17">
        <v>28</v>
      </c>
      <c r="L17">
        <v>0</v>
      </c>
      <c r="M17" t="s">
        <v>341</v>
      </c>
      <c r="N17">
        <v>0</v>
      </c>
      <c r="O17">
        <v>86</v>
      </c>
      <c r="P17">
        <v>32.72</v>
      </c>
      <c r="Q17">
        <v>0</v>
      </c>
      <c r="R17">
        <v>3.18</v>
      </c>
      <c r="S17">
        <v>0</v>
      </c>
      <c r="T17">
        <v>0</v>
      </c>
      <c r="U17">
        <v>2.4</v>
      </c>
      <c r="V17">
        <v>91</v>
      </c>
      <c r="W17">
        <v>0</v>
      </c>
      <c r="X17">
        <v>1</v>
      </c>
      <c r="Y17">
        <v>35.9</v>
      </c>
      <c r="Z17">
        <v>0</v>
      </c>
      <c r="AA17">
        <v>0</v>
      </c>
      <c r="AB17" t="s">
        <v>12</v>
      </c>
      <c r="AC17">
        <v>70</v>
      </c>
      <c r="AD17">
        <v>20</v>
      </c>
      <c r="AE17">
        <v>0.1</v>
      </c>
      <c r="AF17">
        <v>0.05</v>
      </c>
      <c r="AH17">
        <v>35.9</v>
      </c>
      <c r="AI17" t="s">
        <v>175</v>
      </c>
      <c r="AJ17" t="s">
        <v>48</v>
      </c>
      <c r="AK17">
        <v>0.7</v>
      </c>
    </row>
    <row r="18" spans="1:37" hidden="1" x14ac:dyDescent="0.3">
      <c r="A18" s="2">
        <v>45649</v>
      </c>
      <c r="B18" t="s">
        <v>339</v>
      </c>
      <c r="C18" t="s">
        <v>340</v>
      </c>
      <c r="D18">
        <v>122</v>
      </c>
      <c r="E18">
        <v>1</v>
      </c>
      <c r="F18">
        <v>1.5267175572519083E-2</v>
      </c>
      <c r="G18">
        <v>51.09</v>
      </c>
      <c r="H18">
        <v>0</v>
      </c>
      <c r="I18">
        <v>51.09</v>
      </c>
      <c r="J18">
        <v>1000.18</v>
      </c>
      <c r="K18">
        <v>34.909999999999997</v>
      </c>
      <c r="L18">
        <v>0</v>
      </c>
      <c r="M18" t="s">
        <v>341</v>
      </c>
      <c r="N18">
        <v>0</v>
      </c>
      <c r="O18">
        <v>122</v>
      </c>
      <c r="P18">
        <v>43.24</v>
      </c>
      <c r="Q18">
        <v>0</v>
      </c>
      <c r="R18">
        <v>7.85</v>
      </c>
      <c r="S18">
        <v>8.44</v>
      </c>
      <c r="T18">
        <v>8.08</v>
      </c>
      <c r="U18">
        <v>2.39</v>
      </c>
      <c r="V18">
        <v>131</v>
      </c>
      <c r="W18">
        <v>0</v>
      </c>
      <c r="X18">
        <v>2</v>
      </c>
      <c r="Y18">
        <v>51.09</v>
      </c>
      <c r="Z18">
        <v>0</v>
      </c>
      <c r="AA18">
        <v>0</v>
      </c>
      <c r="AB18" t="s">
        <v>13</v>
      </c>
      <c r="AC18">
        <v>70</v>
      </c>
      <c r="AD18">
        <v>20</v>
      </c>
      <c r="AE18">
        <v>0.1</v>
      </c>
      <c r="AF18">
        <v>0.05</v>
      </c>
      <c r="AH18">
        <v>51.09</v>
      </c>
      <c r="AI18" t="s">
        <v>175</v>
      </c>
      <c r="AJ18" t="s">
        <v>48</v>
      </c>
      <c r="AK18">
        <v>0.7</v>
      </c>
    </row>
    <row r="19" spans="1:37" hidden="1" x14ac:dyDescent="0.3">
      <c r="A19" s="2">
        <v>45642</v>
      </c>
      <c r="B19" t="s">
        <v>353</v>
      </c>
      <c r="C19" t="s">
        <v>354</v>
      </c>
      <c r="D19">
        <v>63</v>
      </c>
      <c r="E19">
        <v>0.94366197183098588</v>
      </c>
      <c r="F19">
        <v>0</v>
      </c>
      <c r="G19">
        <v>39.72</v>
      </c>
      <c r="H19">
        <v>0.77</v>
      </c>
      <c r="I19">
        <v>38.949999999999996</v>
      </c>
      <c r="J19">
        <v>657.97</v>
      </c>
      <c r="K19">
        <v>8</v>
      </c>
      <c r="L19">
        <v>0</v>
      </c>
      <c r="M19" t="s">
        <v>355</v>
      </c>
      <c r="N19">
        <v>3</v>
      </c>
      <c r="O19">
        <v>60</v>
      </c>
      <c r="P19">
        <v>26.44</v>
      </c>
      <c r="Q19">
        <v>4</v>
      </c>
      <c r="R19">
        <v>12.51</v>
      </c>
      <c r="S19">
        <v>2.33</v>
      </c>
      <c r="T19">
        <v>2.25</v>
      </c>
      <c r="U19">
        <v>1.59</v>
      </c>
      <c r="V19">
        <v>67</v>
      </c>
      <c r="W19">
        <v>0</v>
      </c>
      <c r="X19">
        <v>0</v>
      </c>
      <c r="Y19">
        <v>0</v>
      </c>
      <c r="Z19">
        <v>0</v>
      </c>
      <c r="AA19">
        <v>38.949999999999996</v>
      </c>
      <c r="AB19" t="s">
        <v>12</v>
      </c>
      <c r="AC19">
        <v>70</v>
      </c>
      <c r="AD19">
        <v>20</v>
      </c>
      <c r="AE19">
        <v>0.1</v>
      </c>
      <c r="AF19">
        <v>0.05</v>
      </c>
      <c r="AH19">
        <v>0</v>
      </c>
      <c r="AI19" t="s">
        <v>176</v>
      </c>
      <c r="AJ19" t="s">
        <v>65</v>
      </c>
      <c r="AK19">
        <v>0.7</v>
      </c>
    </row>
    <row r="20" spans="1:37" hidden="1" x14ac:dyDescent="0.3">
      <c r="A20" s="2">
        <v>45649</v>
      </c>
      <c r="B20" t="s">
        <v>353</v>
      </c>
      <c r="C20" t="s">
        <v>354</v>
      </c>
      <c r="D20">
        <v>70</v>
      </c>
      <c r="E20">
        <v>0.98666666666666669</v>
      </c>
      <c r="F20">
        <v>1.3513513513513514E-2</v>
      </c>
      <c r="G20">
        <v>50.14</v>
      </c>
      <c r="H20">
        <v>0.89</v>
      </c>
      <c r="I20">
        <v>49.25</v>
      </c>
      <c r="J20">
        <v>774.33</v>
      </c>
      <c r="K20">
        <v>35.81</v>
      </c>
      <c r="L20">
        <v>0</v>
      </c>
      <c r="M20" t="s">
        <v>355</v>
      </c>
      <c r="N20">
        <v>8</v>
      </c>
      <c r="O20">
        <v>62</v>
      </c>
      <c r="P20">
        <v>30.34</v>
      </c>
      <c r="Q20">
        <v>1</v>
      </c>
      <c r="R20">
        <v>18.91</v>
      </c>
      <c r="S20">
        <v>2.81</v>
      </c>
      <c r="T20">
        <v>2.46</v>
      </c>
      <c r="U20">
        <v>1.4</v>
      </c>
      <c r="V20">
        <v>74</v>
      </c>
      <c r="W20">
        <v>0</v>
      </c>
      <c r="X20">
        <v>1</v>
      </c>
      <c r="Y20">
        <v>49.25</v>
      </c>
      <c r="Z20">
        <v>0</v>
      </c>
      <c r="AA20">
        <v>0</v>
      </c>
      <c r="AB20" t="s">
        <v>13</v>
      </c>
      <c r="AC20">
        <v>70</v>
      </c>
      <c r="AD20">
        <v>20</v>
      </c>
      <c r="AE20">
        <v>0.1</v>
      </c>
      <c r="AF20">
        <v>0.05</v>
      </c>
      <c r="AH20">
        <v>49.25</v>
      </c>
      <c r="AI20" t="s">
        <v>176</v>
      </c>
      <c r="AJ20" t="s">
        <v>65</v>
      </c>
      <c r="AK20">
        <v>0.7</v>
      </c>
    </row>
    <row r="21" spans="1:37" hidden="1" x14ac:dyDescent="0.3">
      <c r="A21" s="2">
        <v>45642</v>
      </c>
      <c r="B21" t="s">
        <v>313</v>
      </c>
      <c r="C21" t="s">
        <v>314</v>
      </c>
      <c r="D21">
        <v>45</v>
      </c>
      <c r="E21">
        <v>0.97916666666666663</v>
      </c>
      <c r="F21">
        <v>4.2553191489361701E-2</v>
      </c>
      <c r="G21">
        <v>22.75</v>
      </c>
      <c r="H21">
        <v>0.01</v>
      </c>
      <c r="I21">
        <v>22.74</v>
      </c>
      <c r="J21">
        <v>488.54</v>
      </c>
      <c r="K21">
        <v>15</v>
      </c>
      <c r="L21">
        <v>0</v>
      </c>
      <c r="M21" t="s">
        <v>334</v>
      </c>
      <c r="N21">
        <v>0</v>
      </c>
      <c r="O21">
        <v>45</v>
      </c>
      <c r="P21">
        <v>20.38</v>
      </c>
      <c r="Q21">
        <v>1</v>
      </c>
      <c r="R21">
        <v>2.36</v>
      </c>
      <c r="S21">
        <v>20.3</v>
      </c>
      <c r="T21">
        <v>18.850000000000001</v>
      </c>
      <c r="U21">
        <v>1.98</v>
      </c>
      <c r="V21">
        <v>47</v>
      </c>
      <c r="W21">
        <v>0</v>
      </c>
      <c r="X21">
        <v>2</v>
      </c>
      <c r="Y21">
        <v>0</v>
      </c>
      <c r="Z21">
        <v>0</v>
      </c>
      <c r="AA21">
        <v>22.74</v>
      </c>
      <c r="AB21" t="s">
        <v>12</v>
      </c>
      <c r="AC21">
        <v>70</v>
      </c>
      <c r="AD21">
        <v>20</v>
      </c>
      <c r="AE21">
        <v>0.1</v>
      </c>
      <c r="AF21">
        <v>0.05</v>
      </c>
      <c r="AH21">
        <v>0</v>
      </c>
      <c r="AI21" t="s">
        <v>177</v>
      </c>
      <c r="AJ21" t="s">
        <v>37</v>
      </c>
      <c r="AK21">
        <v>0.7</v>
      </c>
    </row>
    <row r="22" spans="1:37" hidden="1" x14ac:dyDescent="0.3">
      <c r="A22" s="2">
        <v>45649</v>
      </c>
      <c r="B22" t="s">
        <v>313</v>
      </c>
      <c r="C22" t="s">
        <v>314</v>
      </c>
      <c r="D22">
        <v>20</v>
      </c>
      <c r="E22">
        <v>1</v>
      </c>
      <c r="F22">
        <v>0</v>
      </c>
      <c r="G22">
        <v>17.850000000000001</v>
      </c>
      <c r="H22">
        <v>0.13</v>
      </c>
      <c r="I22">
        <v>17.720000000000002</v>
      </c>
      <c r="J22">
        <v>214.13</v>
      </c>
      <c r="K22">
        <v>6</v>
      </c>
      <c r="L22">
        <v>0</v>
      </c>
      <c r="M22" t="s">
        <v>334</v>
      </c>
      <c r="N22">
        <v>2</v>
      </c>
      <c r="O22">
        <v>18</v>
      </c>
      <c r="P22">
        <v>10.25</v>
      </c>
      <c r="Q22">
        <v>0</v>
      </c>
      <c r="R22">
        <v>7.47</v>
      </c>
      <c r="S22">
        <v>6</v>
      </c>
      <c r="T22">
        <v>4.3899999999999997</v>
      </c>
      <c r="U22">
        <v>1.1200000000000001</v>
      </c>
      <c r="V22">
        <v>20</v>
      </c>
      <c r="W22">
        <v>0</v>
      </c>
      <c r="X22">
        <v>0</v>
      </c>
      <c r="Y22">
        <v>17.720000000000002</v>
      </c>
      <c r="Z22">
        <v>0</v>
      </c>
      <c r="AA22">
        <v>0</v>
      </c>
      <c r="AB22" t="s">
        <v>13</v>
      </c>
      <c r="AC22">
        <v>70</v>
      </c>
      <c r="AD22">
        <v>20</v>
      </c>
      <c r="AE22">
        <v>0.1</v>
      </c>
      <c r="AF22">
        <v>0.05</v>
      </c>
      <c r="AH22">
        <v>17.720000000000002</v>
      </c>
      <c r="AI22" t="s">
        <v>177</v>
      </c>
      <c r="AJ22" t="s">
        <v>37</v>
      </c>
      <c r="AK22">
        <v>0.7</v>
      </c>
    </row>
    <row r="23" spans="1:37" hidden="1" x14ac:dyDescent="0.3">
      <c r="A23" s="2">
        <v>45642</v>
      </c>
      <c r="B23" t="s">
        <v>343</v>
      </c>
      <c r="C23" t="s">
        <v>344</v>
      </c>
      <c r="D23">
        <v>34</v>
      </c>
      <c r="E23">
        <v>0.96</v>
      </c>
      <c r="F23">
        <v>0</v>
      </c>
      <c r="G23">
        <v>19.7</v>
      </c>
      <c r="H23">
        <v>0</v>
      </c>
      <c r="I23">
        <v>19.7</v>
      </c>
      <c r="J23">
        <v>354.34</v>
      </c>
      <c r="K23">
        <v>0</v>
      </c>
      <c r="L23">
        <v>0</v>
      </c>
      <c r="M23" t="s">
        <v>345</v>
      </c>
      <c r="N23">
        <v>2</v>
      </c>
      <c r="O23">
        <v>32</v>
      </c>
      <c r="P23">
        <v>13.81</v>
      </c>
      <c r="Q23">
        <v>0</v>
      </c>
      <c r="R23">
        <v>5.9</v>
      </c>
      <c r="S23">
        <v>11.8</v>
      </c>
      <c r="T23">
        <v>9.83</v>
      </c>
      <c r="U23">
        <v>1.73</v>
      </c>
      <c r="V23">
        <v>24</v>
      </c>
      <c r="W23">
        <v>1</v>
      </c>
      <c r="X23">
        <v>0</v>
      </c>
      <c r="Y23">
        <v>19.7</v>
      </c>
      <c r="Z23">
        <v>0</v>
      </c>
      <c r="AA23">
        <v>0</v>
      </c>
      <c r="AB23" t="s">
        <v>12</v>
      </c>
      <c r="AC23">
        <v>70</v>
      </c>
      <c r="AD23">
        <v>20</v>
      </c>
      <c r="AE23">
        <v>0.1</v>
      </c>
      <c r="AF23">
        <v>0.05</v>
      </c>
      <c r="AH23">
        <v>19.7</v>
      </c>
      <c r="AI23" t="s">
        <v>178</v>
      </c>
      <c r="AJ23" t="s">
        <v>48</v>
      </c>
      <c r="AK23">
        <v>0.7</v>
      </c>
    </row>
    <row r="24" spans="1:37" hidden="1" x14ac:dyDescent="0.3">
      <c r="A24" s="2">
        <v>45649</v>
      </c>
      <c r="B24" t="s">
        <v>343</v>
      </c>
      <c r="C24" t="s">
        <v>344</v>
      </c>
      <c r="D24">
        <v>16</v>
      </c>
      <c r="E24">
        <v>1</v>
      </c>
      <c r="F24">
        <v>0</v>
      </c>
      <c r="G24">
        <v>7.53</v>
      </c>
      <c r="H24">
        <v>0</v>
      </c>
      <c r="I24">
        <v>7.53</v>
      </c>
      <c r="J24">
        <v>117.369999999999</v>
      </c>
      <c r="K24">
        <v>1</v>
      </c>
      <c r="L24">
        <v>0</v>
      </c>
      <c r="M24" t="s">
        <v>345</v>
      </c>
      <c r="N24">
        <v>0</v>
      </c>
      <c r="O24">
        <v>16</v>
      </c>
      <c r="P24">
        <v>4.49</v>
      </c>
      <c r="Q24">
        <v>0</v>
      </c>
      <c r="R24">
        <v>3.04</v>
      </c>
      <c r="S24">
        <v>0</v>
      </c>
      <c r="T24">
        <v>0</v>
      </c>
      <c r="U24">
        <v>2.12</v>
      </c>
      <c r="V24">
        <v>14</v>
      </c>
      <c r="W24">
        <v>0</v>
      </c>
      <c r="X24">
        <v>0</v>
      </c>
      <c r="Y24">
        <v>7.53</v>
      </c>
      <c r="Z24">
        <v>0</v>
      </c>
      <c r="AA24">
        <v>0</v>
      </c>
      <c r="AB24" t="s">
        <v>13</v>
      </c>
      <c r="AC24">
        <v>70</v>
      </c>
      <c r="AD24">
        <v>20</v>
      </c>
      <c r="AE24">
        <v>0.1</v>
      </c>
      <c r="AF24">
        <v>0.05</v>
      </c>
      <c r="AH24">
        <v>7.53</v>
      </c>
      <c r="AI24" t="s">
        <v>178</v>
      </c>
      <c r="AJ24" t="s">
        <v>48</v>
      </c>
      <c r="AK24">
        <v>0.7</v>
      </c>
    </row>
    <row r="25" spans="1:37" hidden="1" x14ac:dyDescent="0.3">
      <c r="A25" s="2">
        <v>45642</v>
      </c>
      <c r="B25" t="s">
        <v>346</v>
      </c>
      <c r="C25" t="s">
        <v>347</v>
      </c>
      <c r="D25">
        <v>49</v>
      </c>
      <c r="E25">
        <v>1</v>
      </c>
      <c r="F25">
        <v>0</v>
      </c>
      <c r="G25">
        <v>41.11</v>
      </c>
      <c r="H25">
        <v>0.01</v>
      </c>
      <c r="I25">
        <v>41.1</v>
      </c>
      <c r="J25">
        <v>536.05999999999995</v>
      </c>
      <c r="K25">
        <v>39.5</v>
      </c>
      <c r="L25">
        <v>0</v>
      </c>
      <c r="M25" t="s">
        <v>348</v>
      </c>
      <c r="N25">
        <v>4</v>
      </c>
      <c r="O25">
        <v>45</v>
      </c>
      <c r="P25">
        <v>21.83</v>
      </c>
      <c r="Q25">
        <v>0</v>
      </c>
      <c r="R25">
        <v>19.27</v>
      </c>
      <c r="S25">
        <v>12.06</v>
      </c>
      <c r="T25">
        <v>10.34</v>
      </c>
      <c r="U25">
        <v>1.19</v>
      </c>
      <c r="V25">
        <v>51</v>
      </c>
      <c r="W25">
        <v>0</v>
      </c>
      <c r="X25">
        <v>0</v>
      </c>
      <c r="Y25">
        <v>41.1</v>
      </c>
      <c r="Z25">
        <v>0</v>
      </c>
      <c r="AA25">
        <v>0</v>
      </c>
      <c r="AB25" t="s">
        <v>12</v>
      </c>
      <c r="AC25">
        <v>70</v>
      </c>
      <c r="AD25">
        <v>20</v>
      </c>
      <c r="AE25">
        <v>0.1</v>
      </c>
      <c r="AF25">
        <v>0.05</v>
      </c>
      <c r="AH25">
        <v>41.1</v>
      </c>
      <c r="AI25" t="s">
        <v>180</v>
      </c>
      <c r="AJ25" t="s">
        <v>48</v>
      </c>
      <c r="AK25">
        <v>0.7</v>
      </c>
    </row>
    <row r="26" spans="1:37" hidden="1" x14ac:dyDescent="0.3">
      <c r="A26" s="2">
        <v>45649</v>
      </c>
      <c r="B26" t="s">
        <v>346</v>
      </c>
      <c r="C26" t="s">
        <v>347</v>
      </c>
      <c r="D26">
        <v>82</v>
      </c>
      <c r="E26">
        <v>1</v>
      </c>
      <c r="F26">
        <v>2.247191011235955E-2</v>
      </c>
      <c r="G26">
        <v>46.1</v>
      </c>
      <c r="H26">
        <v>0.02</v>
      </c>
      <c r="I26">
        <v>46.08</v>
      </c>
      <c r="J26">
        <v>514.08999999999901</v>
      </c>
      <c r="K26">
        <v>62.5</v>
      </c>
      <c r="L26">
        <v>0</v>
      </c>
      <c r="M26" t="s">
        <v>348</v>
      </c>
      <c r="N26">
        <v>0</v>
      </c>
      <c r="O26">
        <v>82</v>
      </c>
      <c r="P26">
        <v>23.94</v>
      </c>
      <c r="Q26">
        <v>0</v>
      </c>
      <c r="R26">
        <v>22.14</v>
      </c>
      <c r="S26">
        <v>13.31</v>
      </c>
      <c r="T26">
        <v>8.31</v>
      </c>
      <c r="U26">
        <v>1.78</v>
      </c>
      <c r="V26">
        <v>89</v>
      </c>
      <c r="W26">
        <v>0</v>
      </c>
      <c r="X26">
        <v>2</v>
      </c>
      <c r="Y26">
        <v>46.08</v>
      </c>
      <c r="Z26">
        <v>0</v>
      </c>
      <c r="AA26">
        <v>0</v>
      </c>
      <c r="AB26" t="s">
        <v>13</v>
      </c>
      <c r="AC26">
        <v>70</v>
      </c>
      <c r="AD26">
        <v>20</v>
      </c>
      <c r="AE26">
        <v>0.1</v>
      </c>
      <c r="AF26">
        <v>0.05</v>
      </c>
      <c r="AH26">
        <v>46.08</v>
      </c>
      <c r="AI26" t="s">
        <v>180</v>
      </c>
      <c r="AJ26" t="s">
        <v>48</v>
      </c>
      <c r="AK26">
        <v>0.7</v>
      </c>
    </row>
    <row r="27" spans="1:37" hidden="1" x14ac:dyDescent="0.3">
      <c r="A27" s="2">
        <v>45642</v>
      </c>
      <c r="B27" t="s">
        <v>320</v>
      </c>
      <c r="C27" t="s">
        <v>321</v>
      </c>
      <c r="D27">
        <v>54</v>
      </c>
      <c r="E27">
        <v>0.97142857142857142</v>
      </c>
      <c r="F27">
        <v>2.9411764705882353E-2</v>
      </c>
      <c r="G27">
        <v>25.55</v>
      </c>
      <c r="H27">
        <v>0.05</v>
      </c>
      <c r="I27">
        <v>25.5</v>
      </c>
      <c r="J27">
        <v>551.91</v>
      </c>
      <c r="K27">
        <v>18.05</v>
      </c>
      <c r="L27">
        <v>0</v>
      </c>
      <c r="M27" t="s">
        <v>365</v>
      </c>
      <c r="N27">
        <v>0</v>
      </c>
      <c r="O27">
        <v>54</v>
      </c>
      <c r="P27">
        <v>24</v>
      </c>
      <c r="Q27">
        <v>2</v>
      </c>
      <c r="R27">
        <v>1.5</v>
      </c>
      <c r="S27">
        <v>0</v>
      </c>
      <c r="T27">
        <v>0</v>
      </c>
      <c r="U27">
        <v>2.11</v>
      </c>
      <c r="V27">
        <v>68</v>
      </c>
      <c r="W27">
        <v>0</v>
      </c>
      <c r="X27">
        <v>2</v>
      </c>
      <c r="Y27">
        <v>25.5</v>
      </c>
      <c r="Z27">
        <v>0</v>
      </c>
      <c r="AA27">
        <v>0</v>
      </c>
      <c r="AB27" t="s">
        <v>12</v>
      </c>
      <c r="AC27">
        <v>70</v>
      </c>
      <c r="AD27">
        <v>20</v>
      </c>
      <c r="AE27">
        <v>0.1</v>
      </c>
      <c r="AF27">
        <v>0.05</v>
      </c>
      <c r="AH27">
        <v>25.5</v>
      </c>
      <c r="AI27" t="s">
        <v>182</v>
      </c>
      <c r="AJ27" t="s">
        <v>37</v>
      </c>
      <c r="AK27">
        <v>0.7</v>
      </c>
    </row>
    <row r="28" spans="1:37" hidden="1" x14ac:dyDescent="0.3">
      <c r="A28" s="2">
        <v>45649</v>
      </c>
      <c r="B28" t="s">
        <v>320</v>
      </c>
      <c r="C28" t="s">
        <v>321</v>
      </c>
      <c r="D28">
        <v>85</v>
      </c>
      <c r="E28">
        <v>0.97058823529411764</v>
      </c>
      <c r="F28">
        <v>2.0202020202020204E-2</v>
      </c>
      <c r="G28">
        <v>40.090000000000003</v>
      </c>
      <c r="H28">
        <v>7.0000000000000007E-2</v>
      </c>
      <c r="I28">
        <v>40.020000000000003</v>
      </c>
      <c r="J28">
        <v>853.44999999999902</v>
      </c>
      <c r="K28">
        <v>20</v>
      </c>
      <c r="L28">
        <v>0</v>
      </c>
      <c r="M28" t="s">
        <v>365</v>
      </c>
      <c r="N28">
        <v>4</v>
      </c>
      <c r="O28">
        <v>81</v>
      </c>
      <c r="P28">
        <v>34.75</v>
      </c>
      <c r="Q28">
        <v>2</v>
      </c>
      <c r="R28">
        <v>5.27</v>
      </c>
      <c r="S28">
        <v>1.1000000000000001</v>
      </c>
      <c r="T28">
        <v>1.07</v>
      </c>
      <c r="U28">
        <v>2.12</v>
      </c>
      <c r="V28">
        <v>99</v>
      </c>
      <c r="W28">
        <v>1</v>
      </c>
      <c r="X28">
        <v>2</v>
      </c>
      <c r="Y28">
        <v>40.020000000000003</v>
      </c>
      <c r="Z28">
        <v>0</v>
      </c>
      <c r="AA28">
        <v>0</v>
      </c>
      <c r="AB28" t="s">
        <v>13</v>
      </c>
      <c r="AC28">
        <v>70</v>
      </c>
      <c r="AD28">
        <v>20</v>
      </c>
      <c r="AE28">
        <v>0.1</v>
      </c>
      <c r="AF28">
        <v>0.05</v>
      </c>
      <c r="AH28">
        <v>40.020000000000003</v>
      </c>
      <c r="AI28" t="s">
        <v>182</v>
      </c>
      <c r="AJ28" t="s">
        <v>37</v>
      </c>
      <c r="AK28">
        <v>0.7</v>
      </c>
    </row>
    <row r="29" spans="1:37" hidden="1" x14ac:dyDescent="0.3">
      <c r="A29" s="2">
        <v>45642</v>
      </c>
      <c r="B29" t="s">
        <v>356</v>
      </c>
      <c r="C29" t="s">
        <v>357</v>
      </c>
      <c r="D29">
        <v>63</v>
      </c>
      <c r="E29">
        <v>0.79207920792079212</v>
      </c>
      <c r="F29">
        <v>0.05</v>
      </c>
      <c r="G29">
        <v>45.04</v>
      </c>
      <c r="H29">
        <v>0.25</v>
      </c>
      <c r="I29">
        <v>44.79</v>
      </c>
      <c r="J29">
        <v>883.68999999999903</v>
      </c>
      <c r="K29">
        <v>46.89</v>
      </c>
      <c r="L29">
        <v>0</v>
      </c>
      <c r="M29" t="s">
        <v>358</v>
      </c>
      <c r="N29">
        <v>14</v>
      </c>
      <c r="O29">
        <v>49</v>
      </c>
      <c r="P29">
        <v>37.659999999999997</v>
      </c>
      <c r="Q29">
        <v>12</v>
      </c>
      <c r="R29">
        <v>7.13</v>
      </c>
      <c r="S29">
        <v>17.760000000000002</v>
      </c>
      <c r="T29">
        <v>14.92</v>
      </c>
      <c r="U29">
        <v>1.4</v>
      </c>
      <c r="V29">
        <v>80</v>
      </c>
      <c r="W29">
        <v>9</v>
      </c>
      <c r="X29">
        <v>4</v>
      </c>
      <c r="Y29">
        <v>0</v>
      </c>
      <c r="Z29">
        <v>0</v>
      </c>
      <c r="AA29">
        <v>44.79</v>
      </c>
      <c r="AB29" t="s">
        <v>12</v>
      </c>
      <c r="AC29">
        <v>70</v>
      </c>
      <c r="AD29">
        <v>20</v>
      </c>
      <c r="AE29">
        <v>0.1</v>
      </c>
      <c r="AF29">
        <v>0.05</v>
      </c>
      <c r="AH29">
        <v>0</v>
      </c>
      <c r="AI29" t="s">
        <v>183</v>
      </c>
      <c r="AJ29" t="s">
        <v>65</v>
      </c>
      <c r="AK29">
        <v>0.7</v>
      </c>
    </row>
    <row r="30" spans="1:37" hidden="1" x14ac:dyDescent="0.3">
      <c r="A30" s="2">
        <v>45649</v>
      </c>
      <c r="B30" t="s">
        <v>356</v>
      </c>
      <c r="C30" t="s">
        <v>357</v>
      </c>
      <c r="D30">
        <v>47</v>
      </c>
      <c r="E30">
        <v>0.86206896551724133</v>
      </c>
      <c r="F30">
        <v>0.02</v>
      </c>
      <c r="G30">
        <v>23.04</v>
      </c>
      <c r="H30">
        <v>1.56</v>
      </c>
      <c r="I30">
        <v>21.48</v>
      </c>
      <c r="J30">
        <v>421.53</v>
      </c>
      <c r="K30">
        <v>34</v>
      </c>
      <c r="L30">
        <v>0</v>
      </c>
      <c r="M30" t="s">
        <v>358</v>
      </c>
      <c r="N30">
        <v>6</v>
      </c>
      <c r="O30">
        <v>41</v>
      </c>
      <c r="P30">
        <v>19.28</v>
      </c>
      <c r="Q30">
        <v>1</v>
      </c>
      <c r="R30">
        <v>2.19</v>
      </c>
      <c r="S30">
        <v>9.6300000000000008</v>
      </c>
      <c r="T30">
        <v>8.94</v>
      </c>
      <c r="U30">
        <v>2.04</v>
      </c>
      <c r="V30">
        <v>50</v>
      </c>
      <c r="W30">
        <v>7</v>
      </c>
      <c r="X30">
        <v>1</v>
      </c>
      <c r="Y30">
        <v>0</v>
      </c>
      <c r="Z30">
        <v>0</v>
      </c>
      <c r="AA30">
        <v>21.48</v>
      </c>
      <c r="AB30" t="s">
        <v>13</v>
      </c>
      <c r="AC30">
        <v>70</v>
      </c>
      <c r="AD30">
        <v>20</v>
      </c>
      <c r="AE30">
        <v>0.1</v>
      </c>
      <c r="AF30">
        <v>0.05</v>
      </c>
      <c r="AH30">
        <v>0</v>
      </c>
      <c r="AI30" t="s">
        <v>183</v>
      </c>
      <c r="AJ30" t="s">
        <v>65</v>
      </c>
      <c r="AK30">
        <v>0.7</v>
      </c>
    </row>
    <row r="31" spans="1:37" hidden="1" x14ac:dyDescent="0.3">
      <c r="A31" s="2">
        <v>45642</v>
      </c>
      <c r="B31" t="s">
        <v>311</v>
      </c>
      <c r="C31" t="s">
        <v>315</v>
      </c>
      <c r="D31">
        <v>29</v>
      </c>
      <c r="E31">
        <v>1</v>
      </c>
      <c r="F31">
        <v>3.7037037037037035E-2</v>
      </c>
      <c r="G31">
        <v>26.75</v>
      </c>
      <c r="H31">
        <v>2.1</v>
      </c>
      <c r="I31">
        <v>24.65</v>
      </c>
      <c r="J31">
        <v>364.81</v>
      </c>
      <c r="K31">
        <v>10.52</v>
      </c>
      <c r="L31">
        <v>0</v>
      </c>
      <c r="M31" t="s">
        <v>338</v>
      </c>
      <c r="N31">
        <v>0</v>
      </c>
      <c r="O31">
        <v>29</v>
      </c>
      <c r="P31">
        <v>18.38</v>
      </c>
      <c r="Q31">
        <v>0</v>
      </c>
      <c r="R31">
        <v>6.27</v>
      </c>
      <c r="S31">
        <v>6.88</v>
      </c>
      <c r="T31">
        <v>5.04</v>
      </c>
      <c r="U31">
        <v>1.08</v>
      </c>
      <c r="V31">
        <v>54</v>
      </c>
      <c r="W31">
        <v>0</v>
      </c>
      <c r="X31">
        <v>2</v>
      </c>
      <c r="Y31">
        <v>24.65</v>
      </c>
      <c r="Z31">
        <v>0</v>
      </c>
      <c r="AA31">
        <v>0</v>
      </c>
      <c r="AB31" t="s">
        <v>12</v>
      </c>
      <c r="AC31">
        <v>70</v>
      </c>
      <c r="AD31">
        <v>20</v>
      </c>
      <c r="AE31">
        <v>0.1</v>
      </c>
      <c r="AF31">
        <v>0.05</v>
      </c>
      <c r="AH31">
        <v>24.65</v>
      </c>
      <c r="AI31" t="s">
        <v>184</v>
      </c>
      <c r="AJ31" t="s">
        <v>37</v>
      </c>
      <c r="AK31">
        <v>0.7</v>
      </c>
    </row>
    <row r="32" spans="1:37" hidden="1" x14ac:dyDescent="0.3">
      <c r="A32" s="2">
        <v>45649</v>
      </c>
      <c r="B32" t="s">
        <v>311</v>
      </c>
      <c r="C32" t="s">
        <v>315</v>
      </c>
      <c r="D32">
        <v>52</v>
      </c>
      <c r="E32">
        <v>1</v>
      </c>
      <c r="F32">
        <v>5.8823529411764705E-2</v>
      </c>
      <c r="G32">
        <v>35.229999999999997</v>
      </c>
      <c r="H32">
        <v>1.55</v>
      </c>
      <c r="I32">
        <v>33.68</v>
      </c>
      <c r="J32">
        <v>482.229999999999</v>
      </c>
      <c r="K32">
        <v>11</v>
      </c>
      <c r="L32">
        <v>0</v>
      </c>
      <c r="M32" t="s">
        <v>338</v>
      </c>
      <c r="N32">
        <v>0</v>
      </c>
      <c r="O32">
        <v>52</v>
      </c>
      <c r="P32">
        <v>24.3</v>
      </c>
      <c r="Q32">
        <v>0</v>
      </c>
      <c r="R32">
        <v>9.3800000000000008</v>
      </c>
      <c r="S32">
        <v>11.41</v>
      </c>
      <c r="T32">
        <v>8.24</v>
      </c>
      <c r="U32">
        <v>1.48</v>
      </c>
      <c r="V32">
        <v>85</v>
      </c>
      <c r="W32">
        <v>0</v>
      </c>
      <c r="X32">
        <v>5</v>
      </c>
      <c r="Y32">
        <v>0</v>
      </c>
      <c r="Z32">
        <v>0</v>
      </c>
      <c r="AA32">
        <v>33.68</v>
      </c>
      <c r="AB32" t="s">
        <v>13</v>
      </c>
      <c r="AC32">
        <v>70</v>
      </c>
      <c r="AD32">
        <v>20</v>
      </c>
      <c r="AE32">
        <v>0.1</v>
      </c>
      <c r="AF32">
        <v>0.05</v>
      </c>
      <c r="AH32">
        <v>0</v>
      </c>
      <c r="AI32" t="s">
        <v>184</v>
      </c>
      <c r="AJ32" t="s">
        <v>37</v>
      </c>
      <c r="AK32">
        <v>0.7</v>
      </c>
    </row>
    <row r="33" spans="1:37" hidden="1" x14ac:dyDescent="0.3">
      <c r="A33" s="2">
        <v>45642</v>
      </c>
      <c r="B33" t="s">
        <v>316</v>
      </c>
      <c r="C33" t="s">
        <v>317</v>
      </c>
      <c r="D33">
        <v>54</v>
      </c>
      <c r="E33">
        <v>1</v>
      </c>
      <c r="F33">
        <v>0</v>
      </c>
      <c r="G33">
        <v>27.74</v>
      </c>
      <c r="H33">
        <v>0</v>
      </c>
      <c r="I33">
        <v>27.74</v>
      </c>
      <c r="J33">
        <v>733.5</v>
      </c>
      <c r="K33">
        <v>25.18</v>
      </c>
      <c r="L33">
        <v>0</v>
      </c>
      <c r="M33" t="s">
        <v>342</v>
      </c>
      <c r="N33">
        <v>7</v>
      </c>
      <c r="O33">
        <v>47</v>
      </c>
      <c r="P33">
        <v>26.29</v>
      </c>
      <c r="Q33">
        <v>0</v>
      </c>
      <c r="R33">
        <v>1.45</v>
      </c>
      <c r="S33">
        <v>0</v>
      </c>
      <c r="T33">
        <v>0</v>
      </c>
      <c r="U33">
        <v>1.95</v>
      </c>
      <c r="V33">
        <v>63</v>
      </c>
      <c r="W33">
        <v>0</v>
      </c>
      <c r="X33">
        <v>0</v>
      </c>
      <c r="Y33">
        <v>27.74</v>
      </c>
      <c r="Z33">
        <v>0</v>
      </c>
      <c r="AA33">
        <v>0</v>
      </c>
      <c r="AB33" t="s">
        <v>12</v>
      </c>
      <c r="AC33">
        <v>70</v>
      </c>
      <c r="AD33">
        <v>20</v>
      </c>
      <c r="AE33">
        <v>0.1</v>
      </c>
      <c r="AF33">
        <v>0.05</v>
      </c>
      <c r="AH33">
        <v>27.74</v>
      </c>
      <c r="AI33" t="s">
        <v>185</v>
      </c>
      <c r="AJ33" t="s">
        <v>37</v>
      </c>
      <c r="AK33">
        <v>0.7</v>
      </c>
    </row>
    <row r="34" spans="1:37" hidden="1" x14ac:dyDescent="0.3">
      <c r="A34" s="2">
        <v>45649</v>
      </c>
      <c r="B34" t="s">
        <v>316</v>
      </c>
      <c r="C34" t="s">
        <v>317</v>
      </c>
      <c r="D34">
        <v>52</v>
      </c>
      <c r="E34">
        <v>1</v>
      </c>
      <c r="F34">
        <v>3.5714285714285712E-2</v>
      </c>
      <c r="G34">
        <v>25.14</v>
      </c>
      <c r="H34">
        <v>0.42</v>
      </c>
      <c r="I34">
        <v>24.72</v>
      </c>
      <c r="J34">
        <v>608.66999999999996</v>
      </c>
      <c r="K34">
        <v>9.39</v>
      </c>
      <c r="L34">
        <v>0</v>
      </c>
      <c r="M34" t="s">
        <v>342</v>
      </c>
      <c r="N34">
        <v>6</v>
      </c>
      <c r="O34">
        <v>46</v>
      </c>
      <c r="P34">
        <v>24.47</v>
      </c>
      <c r="Q34">
        <v>0</v>
      </c>
      <c r="R34">
        <v>0.25</v>
      </c>
      <c r="S34">
        <v>1.85</v>
      </c>
      <c r="T34">
        <v>1.85</v>
      </c>
      <c r="U34">
        <v>2.0699999999999998</v>
      </c>
      <c r="V34">
        <v>56</v>
      </c>
      <c r="W34">
        <v>0</v>
      </c>
      <c r="X34">
        <v>2</v>
      </c>
      <c r="Y34">
        <v>24.72</v>
      </c>
      <c r="Z34">
        <v>0</v>
      </c>
      <c r="AA34">
        <v>0</v>
      </c>
      <c r="AB34" t="s">
        <v>13</v>
      </c>
      <c r="AC34">
        <v>70</v>
      </c>
      <c r="AD34">
        <v>20</v>
      </c>
      <c r="AE34">
        <v>0.1</v>
      </c>
      <c r="AF34">
        <v>0.05</v>
      </c>
      <c r="AH34">
        <v>24.72</v>
      </c>
      <c r="AI34" t="s">
        <v>185</v>
      </c>
      <c r="AJ34" t="s">
        <v>37</v>
      </c>
      <c r="AK34">
        <v>0.7</v>
      </c>
    </row>
    <row r="35" spans="1:37" hidden="1" x14ac:dyDescent="0.3">
      <c r="A35" s="2">
        <v>45642</v>
      </c>
      <c r="B35" t="s">
        <v>349</v>
      </c>
      <c r="C35" t="s">
        <v>350</v>
      </c>
      <c r="D35">
        <v>0</v>
      </c>
      <c r="E35">
        <v>0</v>
      </c>
      <c r="F35">
        <v>0</v>
      </c>
      <c r="G35">
        <v>1.24</v>
      </c>
      <c r="H35">
        <v>0.03</v>
      </c>
      <c r="I35">
        <v>1.21</v>
      </c>
      <c r="J35">
        <v>0</v>
      </c>
      <c r="K35">
        <v>0</v>
      </c>
      <c r="L35">
        <v>0</v>
      </c>
      <c r="M35" t="s">
        <v>351</v>
      </c>
      <c r="N35">
        <v>0</v>
      </c>
      <c r="O35">
        <v>0</v>
      </c>
      <c r="P35">
        <v>1.2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1.21</v>
      </c>
      <c r="AB35" t="s">
        <v>12</v>
      </c>
      <c r="AC35">
        <v>70</v>
      </c>
      <c r="AD35">
        <v>20</v>
      </c>
      <c r="AE35">
        <v>0.1</v>
      </c>
      <c r="AF35">
        <v>0.05</v>
      </c>
      <c r="AH35">
        <v>0</v>
      </c>
      <c r="AI35" t="s">
        <v>186</v>
      </c>
      <c r="AJ35" t="s">
        <v>48</v>
      </c>
      <c r="AK35">
        <v>0.7</v>
      </c>
    </row>
    <row r="36" spans="1:37" hidden="1" x14ac:dyDescent="0.3">
      <c r="A36" s="2">
        <v>45649</v>
      </c>
      <c r="B36" t="s">
        <v>349</v>
      </c>
      <c r="C36" t="s">
        <v>350</v>
      </c>
      <c r="D36">
        <v>3</v>
      </c>
      <c r="E36">
        <v>1</v>
      </c>
      <c r="F36">
        <v>0</v>
      </c>
      <c r="G36">
        <v>3.21</v>
      </c>
      <c r="H36">
        <v>0</v>
      </c>
      <c r="I36">
        <v>3.21</v>
      </c>
      <c r="J36">
        <v>30.24</v>
      </c>
      <c r="K36">
        <v>7.84</v>
      </c>
      <c r="L36">
        <v>0</v>
      </c>
      <c r="M36" t="s">
        <v>351</v>
      </c>
      <c r="N36">
        <v>0</v>
      </c>
      <c r="O36">
        <v>3</v>
      </c>
      <c r="P36">
        <v>0.96</v>
      </c>
      <c r="Q36">
        <v>0</v>
      </c>
      <c r="R36">
        <v>2.25</v>
      </c>
      <c r="S36">
        <v>0</v>
      </c>
      <c r="T36">
        <v>0</v>
      </c>
      <c r="U36">
        <v>0.93</v>
      </c>
      <c r="V36">
        <v>2</v>
      </c>
      <c r="W36">
        <v>0</v>
      </c>
      <c r="X36">
        <v>0</v>
      </c>
      <c r="Y36">
        <v>3.21</v>
      </c>
      <c r="Z36">
        <v>0</v>
      </c>
      <c r="AA36">
        <v>0</v>
      </c>
      <c r="AB36" t="s">
        <v>13</v>
      </c>
      <c r="AC36">
        <v>70</v>
      </c>
      <c r="AD36">
        <v>20</v>
      </c>
      <c r="AE36">
        <v>0.1</v>
      </c>
      <c r="AF36">
        <v>0.05</v>
      </c>
      <c r="AH36">
        <v>3.21</v>
      </c>
      <c r="AI36" t="s">
        <v>186</v>
      </c>
      <c r="AJ36" t="s">
        <v>48</v>
      </c>
      <c r="AK36">
        <v>0.7</v>
      </c>
    </row>
    <row r="37" spans="1:37" hidden="1" x14ac:dyDescent="0.3">
      <c r="A37" s="2">
        <v>45642</v>
      </c>
      <c r="B37" t="s">
        <v>359</v>
      </c>
      <c r="C37" t="s">
        <v>360</v>
      </c>
      <c r="D37">
        <v>116</v>
      </c>
      <c r="E37">
        <v>1</v>
      </c>
      <c r="F37">
        <v>8.0000000000000002E-3</v>
      </c>
      <c r="G37">
        <v>50.23</v>
      </c>
      <c r="H37">
        <v>0.01</v>
      </c>
      <c r="I37">
        <v>50.22</v>
      </c>
      <c r="J37">
        <v>1217.8499999999999</v>
      </c>
      <c r="K37">
        <v>28</v>
      </c>
      <c r="L37">
        <v>0</v>
      </c>
      <c r="M37" t="s">
        <v>361</v>
      </c>
      <c r="N37">
        <v>0</v>
      </c>
      <c r="O37">
        <v>116</v>
      </c>
      <c r="P37">
        <v>48.04</v>
      </c>
      <c r="Q37">
        <v>0</v>
      </c>
      <c r="R37">
        <v>2.1800000000000002</v>
      </c>
      <c r="S37">
        <v>16.25</v>
      </c>
      <c r="T37">
        <v>15.78</v>
      </c>
      <c r="U37">
        <v>2.31</v>
      </c>
      <c r="V37">
        <v>125</v>
      </c>
      <c r="W37">
        <v>0</v>
      </c>
      <c r="X37">
        <v>1</v>
      </c>
      <c r="Y37">
        <v>50.22</v>
      </c>
      <c r="Z37">
        <v>0</v>
      </c>
      <c r="AA37">
        <v>0</v>
      </c>
      <c r="AB37" t="s">
        <v>12</v>
      </c>
      <c r="AC37">
        <v>70</v>
      </c>
      <c r="AD37">
        <v>20</v>
      </c>
      <c r="AE37">
        <v>0.1</v>
      </c>
      <c r="AF37">
        <v>0.05</v>
      </c>
      <c r="AH37">
        <v>50.22</v>
      </c>
      <c r="AI37" t="s">
        <v>187</v>
      </c>
      <c r="AJ37" t="s">
        <v>44</v>
      </c>
      <c r="AK37">
        <v>0.7</v>
      </c>
    </row>
    <row r="38" spans="1:37" hidden="1" x14ac:dyDescent="0.3">
      <c r="A38" s="2">
        <v>45649</v>
      </c>
      <c r="B38" t="s">
        <v>359</v>
      </c>
      <c r="C38" t="s">
        <v>360</v>
      </c>
      <c r="D38">
        <v>70</v>
      </c>
      <c r="E38">
        <v>1</v>
      </c>
      <c r="F38">
        <v>0</v>
      </c>
      <c r="G38">
        <v>26.38</v>
      </c>
      <c r="H38">
        <v>0</v>
      </c>
      <c r="I38">
        <v>26.38</v>
      </c>
      <c r="J38">
        <v>588.719999999999</v>
      </c>
      <c r="K38">
        <v>17.59</v>
      </c>
      <c r="L38">
        <v>0</v>
      </c>
      <c r="M38" t="s">
        <v>361</v>
      </c>
      <c r="N38">
        <v>0</v>
      </c>
      <c r="O38">
        <v>70</v>
      </c>
      <c r="P38">
        <v>25.01</v>
      </c>
      <c r="Q38">
        <v>0</v>
      </c>
      <c r="R38">
        <v>1.36</v>
      </c>
      <c r="S38">
        <v>14.51</v>
      </c>
      <c r="T38">
        <v>14.04</v>
      </c>
      <c r="U38">
        <v>2.65</v>
      </c>
      <c r="V38">
        <v>74</v>
      </c>
      <c r="W38">
        <v>0</v>
      </c>
      <c r="X38">
        <v>0</v>
      </c>
      <c r="Y38">
        <v>26.38</v>
      </c>
      <c r="Z38">
        <v>0</v>
      </c>
      <c r="AA38">
        <v>0</v>
      </c>
      <c r="AB38" t="s">
        <v>13</v>
      </c>
      <c r="AC38">
        <v>70</v>
      </c>
      <c r="AD38">
        <v>20</v>
      </c>
      <c r="AE38">
        <v>0.1</v>
      </c>
      <c r="AF38">
        <v>0.05</v>
      </c>
      <c r="AH38">
        <v>26.38</v>
      </c>
      <c r="AI38" t="s">
        <v>187</v>
      </c>
      <c r="AJ38" t="s">
        <v>44</v>
      </c>
      <c r="AK38">
        <v>0.7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A1BF3-7CF8-401B-B28A-BD72BDE90935}">
  <sheetPr codeName="Sheet9"/>
  <dimension ref="A3:F14"/>
  <sheetViews>
    <sheetView showGridLines="0" zoomScaleNormal="100" workbookViewId="0">
      <selection activeCell="D4" sqref="D4:E15"/>
    </sheetView>
  </sheetViews>
  <sheetFormatPr defaultRowHeight="14.4" x14ac:dyDescent="0.3"/>
  <cols>
    <col min="1" max="1" width="29.6640625" bestFit="1" customWidth="1"/>
    <col min="2" max="2" width="14.88671875" bestFit="1" customWidth="1"/>
    <col min="3" max="3" width="23.109375" bestFit="1" customWidth="1"/>
    <col min="4" max="5" width="22" bestFit="1" customWidth="1"/>
    <col min="6" max="6" width="10.88671875" customWidth="1"/>
  </cols>
  <sheetData>
    <row r="3" spans="1:6" x14ac:dyDescent="0.3">
      <c r="A3" s="96" t="s">
        <v>166</v>
      </c>
      <c r="B3" s="96" t="s">
        <v>114</v>
      </c>
      <c r="C3" s="96" t="s">
        <v>116</v>
      </c>
      <c r="D3" s="96" t="s">
        <v>117</v>
      </c>
      <c r="E3" s="96" t="s">
        <v>118</v>
      </c>
      <c r="F3" t="s">
        <v>325</v>
      </c>
    </row>
    <row r="4" spans="1:6" x14ac:dyDescent="0.3">
      <c r="A4" t="s">
        <v>34</v>
      </c>
      <c r="B4" t="s">
        <v>12</v>
      </c>
      <c r="C4">
        <v>23.63</v>
      </c>
      <c r="D4">
        <v>23.63</v>
      </c>
      <c r="E4">
        <v>0</v>
      </c>
      <c r="F4" s="97">
        <v>0</v>
      </c>
    </row>
    <row r="5" spans="1:6" x14ac:dyDescent="0.3">
      <c r="A5" t="s">
        <v>34</v>
      </c>
      <c r="B5" t="s">
        <v>13</v>
      </c>
      <c r="C5">
        <v>24.35</v>
      </c>
      <c r="D5">
        <v>24.35</v>
      </c>
      <c r="E5">
        <v>0</v>
      </c>
      <c r="F5" s="97">
        <f t="shared" ref="F5:F13" si="0">+C5-D5-E5</f>
        <v>0</v>
      </c>
    </row>
    <row r="6" spans="1:6" x14ac:dyDescent="0.3">
      <c r="A6" t="s">
        <v>37</v>
      </c>
      <c r="B6" t="s">
        <v>12</v>
      </c>
      <c r="C6">
        <v>190.32</v>
      </c>
      <c r="D6">
        <v>140</v>
      </c>
      <c r="E6">
        <v>50.319999999999993</v>
      </c>
      <c r="F6" s="97">
        <f t="shared" si="0"/>
        <v>0</v>
      </c>
    </row>
    <row r="7" spans="1:6" x14ac:dyDescent="0.3">
      <c r="A7" t="s">
        <v>37</v>
      </c>
      <c r="B7" t="s">
        <v>13</v>
      </c>
      <c r="C7">
        <v>205.48</v>
      </c>
      <c r="D7">
        <v>140</v>
      </c>
      <c r="E7">
        <v>65.47999999999999</v>
      </c>
      <c r="F7" s="97">
        <v>0</v>
      </c>
    </row>
    <row r="8" spans="1:6" x14ac:dyDescent="0.3">
      <c r="A8" t="s">
        <v>44</v>
      </c>
      <c r="B8" t="s">
        <v>12</v>
      </c>
      <c r="C8">
        <v>50.22</v>
      </c>
      <c r="D8">
        <v>50.22</v>
      </c>
      <c r="E8">
        <v>0</v>
      </c>
      <c r="F8" s="97">
        <f t="shared" si="0"/>
        <v>0</v>
      </c>
    </row>
    <row r="9" spans="1:6" x14ac:dyDescent="0.3">
      <c r="A9" t="s">
        <v>44</v>
      </c>
      <c r="B9" t="s">
        <v>13</v>
      </c>
      <c r="C9">
        <v>26.38</v>
      </c>
      <c r="D9">
        <v>26.38</v>
      </c>
      <c r="E9">
        <v>0</v>
      </c>
      <c r="F9" s="97">
        <f t="shared" si="0"/>
        <v>0</v>
      </c>
    </row>
    <row r="10" spans="1:6" x14ac:dyDescent="0.3">
      <c r="A10" t="s">
        <v>48</v>
      </c>
      <c r="B10" t="s">
        <v>12</v>
      </c>
      <c r="C10">
        <v>209.74</v>
      </c>
      <c r="D10">
        <v>140</v>
      </c>
      <c r="E10">
        <v>69.740000000000009</v>
      </c>
      <c r="F10" s="97">
        <f t="shared" si="0"/>
        <v>0</v>
      </c>
    </row>
    <row r="11" spans="1:6" x14ac:dyDescent="0.3">
      <c r="A11" t="s">
        <v>48</v>
      </c>
      <c r="B11" t="s">
        <v>13</v>
      </c>
      <c r="C11">
        <v>221.13</v>
      </c>
      <c r="D11">
        <v>140</v>
      </c>
      <c r="E11">
        <v>80</v>
      </c>
      <c r="F11" s="99">
        <f t="shared" si="0"/>
        <v>1.1299999999999955</v>
      </c>
    </row>
    <row r="12" spans="1:6" x14ac:dyDescent="0.3">
      <c r="A12" t="s">
        <v>65</v>
      </c>
      <c r="B12" t="s">
        <v>12</v>
      </c>
      <c r="C12">
        <v>83.74</v>
      </c>
      <c r="D12">
        <v>70</v>
      </c>
      <c r="E12">
        <v>13.739999999999995</v>
      </c>
      <c r="F12" s="97">
        <f t="shared" si="0"/>
        <v>0</v>
      </c>
    </row>
    <row r="13" spans="1:6" x14ac:dyDescent="0.3">
      <c r="A13" t="s">
        <v>65</v>
      </c>
      <c r="B13" t="s">
        <v>13</v>
      </c>
      <c r="C13">
        <v>106.97</v>
      </c>
      <c r="D13">
        <v>70</v>
      </c>
      <c r="E13">
        <v>36.97</v>
      </c>
      <c r="F13" s="98">
        <f t="shared" si="0"/>
        <v>0</v>
      </c>
    </row>
    <row r="14" spans="1:6" x14ac:dyDescent="0.3">
      <c r="A14" t="s">
        <v>322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96D4-F0D3-43F9-AF43-0CF0F62CA926}">
  <sheetPr codeName="Sheet8"/>
  <dimension ref="A1:BJ11"/>
  <sheetViews>
    <sheetView tabSelected="1" zoomScale="119" zoomScaleNormal="119" workbookViewId="0">
      <selection activeCell="H19" sqref="H19"/>
    </sheetView>
  </sheetViews>
  <sheetFormatPr defaultRowHeight="14.4" x14ac:dyDescent="0.3"/>
  <cols>
    <col min="1" max="1" width="10" bestFit="1" customWidth="1"/>
    <col min="2" max="2" width="18" bestFit="1" customWidth="1"/>
    <col min="3" max="3" width="14.88671875" bestFit="1" customWidth="1"/>
    <col min="4" max="4" width="23.109375" bestFit="1" customWidth="1"/>
    <col min="5" max="5" width="22" bestFit="1" customWidth="1"/>
    <col min="6" max="6" width="24" style="73" bestFit="1" customWidth="1"/>
    <col min="7" max="7" width="16.88671875" bestFit="1" customWidth="1"/>
    <col min="8" max="8" width="18.109375" bestFit="1" customWidth="1"/>
    <col min="9" max="11" width="15.44140625" bestFit="1" customWidth="1"/>
    <col min="12" max="12" width="18" bestFit="1" customWidth="1"/>
    <col min="13" max="13" width="18.88671875" bestFit="1" customWidth="1"/>
    <col min="14" max="15" width="22.44140625" bestFit="1" customWidth="1"/>
    <col min="16" max="16" width="14.109375" bestFit="1" customWidth="1"/>
    <col min="17" max="17" width="16.44140625" bestFit="1" customWidth="1"/>
    <col min="18" max="18" width="12.6640625" bestFit="1" customWidth="1"/>
    <col min="19" max="19" width="7.44140625" bestFit="1" customWidth="1"/>
    <col min="20" max="20" width="14" bestFit="1" customWidth="1"/>
    <col min="21" max="21" width="11.44140625" bestFit="1" customWidth="1"/>
    <col min="22" max="22" width="22.5546875" bestFit="1" customWidth="1"/>
    <col min="23" max="23" width="11.44140625" bestFit="1" customWidth="1"/>
    <col min="24" max="24" width="10" bestFit="1" customWidth="1"/>
    <col min="25" max="25" width="21.109375" bestFit="1" customWidth="1"/>
    <col min="26" max="27" width="18.5546875" bestFit="1" customWidth="1"/>
    <col min="28" max="28" width="22" bestFit="1" customWidth="1"/>
    <col min="29" max="29" width="22.6640625" bestFit="1" customWidth="1"/>
    <col min="30" max="30" width="10.6640625" bestFit="1" customWidth="1"/>
    <col min="31" max="31" width="29.6640625" bestFit="1" customWidth="1"/>
    <col min="32" max="32" width="18.109375" bestFit="1" customWidth="1"/>
    <col min="33" max="33" width="20" bestFit="1" customWidth="1"/>
    <col min="34" max="34" width="15.44140625" bestFit="1" customWidth="1"/>
    <col min="35" max="35" width="12.5546875" bestFit="1" customWidth="1"/>
    <col min="36" max="36" width="16.88671875" bestFit="1" customWidth="1"/>
    <col min="37" max="37" width="16" bestFit="1" customWidth="1"/>
    <col min="38" max="38" width="13.6640625" bestFit="1" customWidth="1"/>
    <col min="39" max="39" width="24.6640625" bestFit="1" customWidth="1"/>
    <col min="40" max="40" width="20.6640625" bestFit="1" customWidth="1"/>
    <col min="41" max="41" width="16.6640625" bestFit="1" customWidth="1"/>
    <col min="42" max="42" width="15" bestFit="1" customWidth="1"/>
    <col min="43" max="43" width="14.5546875" bestFit="1" customWidth="1"/>
    <col min="44" max="44" width="14.88671875" bestFit="1" customWidth="1"/>
    <col min="45" max="45" width="11.6640625" bestFit="1" customWidth="1"/>
    <col min="46" max="46" width="11.5546875" bestFit="1" customWidth="1"/>
    <col min="47" max="48" width="19.88671875" bestFit="1" customWidth="1"/>
    <col min="49" max="49" width="18.6640625" bestFit="1" customWidth="1"/>
    <col min="50" max="50" width="7.33203125" bestFit="1" customWidth="1"/>
    <col min="51" max="51" width="13.109375" bestFit="1" customWidth="1"/>
    <col min="52" max="52" width="11.88671875" bestFit="1" customWidth="1"/>
    <col min="53" max="55" width="11.5546875" bestFit="1" customWidth="1"/>
    <col min="56" max="58" width="16.109375" bestFit="1" customWidth="1"/>
    <col min="59" max="59" width="26.109375" bestFit="1" customWidth="1"/>
    <col min="60" max="60" width="15.5546875" bestFit="1" customWidth="1"/>
    <col min="61" max="61" width="17.44140625" bestFit="1" customWidth="1"/>
    <col min="62" max="63" width="24.88671875" bestFit="1" customWidth="1"/>
    <col min="64" max="64" width="16.88671875" customWidth="1"/>
    <col min="65" max="65" width="7" bestFit="1" customWidth="1"/>
    <col min="66" max="66" width="10.109375" bestFit="1" customWidth="1"/>
    <col min="67" max="67" width="9.5546875" bestFit="1" customWidth="1"/>
    <col min="68" max="68" width="18" bestFit="1" customWidth="1"/>
    <col min="69" max="69" width="11.33203125" bestFit="1" customWidth="1"/>
    <col min="70" max="71" width="17.6640625" bestFit="1" customWidth="1"/>
    <col min="72" max="72" width="16.6640625" bestFit="1" customWidth="1"/>
    <col min="73" max="73" width="14" bestFit="1" customWidth="1"/>
    <col min="74" max="74" width="17.33203125" bestFit="1" customWidth="1"/>
    <col min="75" max="75" width="16.33203125" bestFit="1" customWidth="1"/>
    <col min="76" max="76" width="14.6640625" bestFit="1" customWidth="1"/>
    <col min="77" max="77" width="13.6640625" bestFit="1" customWidth="1"/>
    <col min="78" max="78" width="10.6640625" bestFit="1" customWidth="1"/>
    <col min="79" max="79" width="15.6640625" bestFit="1" customWidth="1"/>
    <col min="80" max="80" width="15.33203125" bestFit="1" customWidth="1"/>
    <col min="81" max="81" width="17.44140625" bestFit="1" customWidth="1"/>
    <col min="82" max="82" width="10.88671875" bestFit="1" customWidth="1"/>
    <col min="83" max="83" width="11.6640625" bestFit="1" customWidth="1"/>
  </cols>
  <sheetData>
    <row r="1" spans="1:62" x14ac:dyDescent="0.3">
      <c r="A1" t="s">
        <v>114</v>
      </c>
      <c r="B1" t="s">
        <v>115</v>
      </c>
      <c r="C1" t="s">
        <v>116</v>
      </c>
      <c r="D1" t="s">
        <v>117</v>
      </c>
      <c r="E1" t="s">
        <v>118</v>
      </c>
      <c r="F1" s="73" t="s">
        <v>188</v>
      </c>
      <c r="G1" t="s">
        <v>189</v>
      </c>
      <c r="H1" t="s">
        <v>190</v>
      </c>
      <c r="I1" t="s">
        <v>191</v>
      </c>
      <c r="J1" t="s">
        <v>192</v>
      </c>
      <c r="K1" t="s">
        <v>193</v>
      </c>
      <c r="L1" t="s">
        <v>125</v>
      </c>
      <c r="M1" t="s">
        <v>126</v>
      </c>
      <c r="N1" t="s">
        <v>194</v>
      </c>
      <c r="O1" t="s">
        <v>195</v>
      </c>
      <c r="P1" t="s">
        <v>127</v>
      </c>
      <c r="Q1" t="s">
        <v>128</v>
      </c>
      <c r="R1" t="s">
        <v>129</v>
      </c>
      <c r="S1" t="s">
        <v>24</v>
      </c>
      <c r="T1" t="s">
        <v>196</v>
      </c>
      <c r="U1" t="s">
        <v>131</v>
      </c>
      <c r="V1" t="s">
        <v>197</v>
      </c>
      <c r="W1" t="s">
        <v>198</v>
      </c>
      <c r="X1" t="s">
        <v>199</v>
      </c>
      <c r="Y1" t="s">
        <v>200</v>
      </c>
      <c r="Z1" t="s">
        <v>201</v>
      </c>
      <c r="AA1" t="s">
        <v>202</v>
      </c>
      <c r="AB1" t="s">
        <v>203</v>
      </c>
      <c r="AC1" t="s">
        <v>204</v>
      </c>
      <c r="AD1" t="s">
        <v>138</v>
      </c>
      <c r="AE1" t="s">
        <v>166</v>
      </c>
      <c r="AF1" t="s">
        <v>141</v>
      </c>
      <c r="AG1" t="s">
        <v>142</v>
      </c>
      <c r="AH1" t="s">
        <v>143</v>
      </c>
      <c r="AI1" t="s">
        <v>150</v>
      </c>
      <c r="AJ1" t="s">
        <v>151</v>
      </c>
      <c r="AK1" t="s">
        <v>152</v>
      </c>
      <c r="AL1" t="s">
        <v>154</v>
      </c>
      <c r="AM1" t="s">
        <v>205</v>
      </c>
      <c r="AN1" t="s">
        <v>206</v>
      </c>
      <c r="AO1" t="s">
        <v>207</v>
      </c>
      <c r="AP1" t="s">
        <v>208</v>
      </c>
      <c r="AQ1" t="s">
        <v>209</v>
      </c>
      <c r="AR1" t="s">
        <v>210</v>
      </c>
      <c r="AS1" t="s">
        <v>164</v>
      </c>
      <c r="AT1" t="s">
        <v>211</v>
      </c>
      <c r="AU1" t="s">
        <v>8</v>
      </c>
      <c r="AV1" t="s">
        <v>9</v>
      </c>
      <c r="AW1" t="s">
        <v>7</v>
      </c>
      <c r="AX1" t="s">
        <v>212</v>
      </c>
      <c r="AY1" t="s">
        <v>213</v>
      </c>
      <c r="AZ1" t="s">
        <v>214</v>
      </c>
      <c r="BA1" t="s">
        <v>215</v>
      </c>
      <c r="BB1" t="s">
        <v>216</v>
      </c>
      <c r="BC1" t="s">
        <v>217</v>
      </c>
      <c r="BD1" t="s">
        <v>218</v>
      </c>
      <c r="BE1" t="s">
        <v>219</v>
      </c>
      <c r="BF1" t="s">
        <v>220</v>
      </c>
      <c r="BG1" t="s">
        <v>221</v>
      </c>
      <c r="BH1" t="s">
        <v>222</v>
      </c>
      <c r="BI1" t="s">
        <v>223</v>
      </c>
      <c r="BJ1" t="s">
        <v>224</v>
      </c>
    </row>
    <row r="2" spans="1:62" x14ac:dyDescent="0.3">
      <c r="A2" t="s">
        <v>12</v>
      </c>
      <c r="B2">
        <v>50</v>
      </c>
      <c r="C2">
        <v>23.63</v>
      </c>
      <c r="D2">
        <v>23.63</v>
      </c>
      <c r="E2">
        <v>0</v>
      </c>
      <c r="F2" s="73">
        <v>0.47260000000000002</v>
      </c>
      <c r="G2">
        <v>0</v>
      </c>
      <c r="H2">
        <v>0</v>
      </c>
      <c r="I2">
        <v>0</v>
      </c>
      <c r="J2">
        <v>0</v>
      </c>
      <c r="K2">
        <v>0</v>
      </c>
      <c r="L2">
        <v>1</v>
      </c>
      <c r="M2">
        <v>3.125E-2</v>
      </c>
      <c r="N2">
        <v>0</v>
      </c>
      <c r="O2">
        <v>0</v>
      </c>
      <c r="P2">
        <v>0.96741430385103699</v>
      </c>
      <c r="Q2">
        <v>0</v>
      </c>
      <c r="R2">
        <v>9</v>
      </c>
      <c r="S2">
        <v>0</v>
      </c>
      <c r="T2">
        <v>557.66</v>
      </c>
      <c r="U2">
        <v>566.66</v>
      </c>
      <c r="V2">
        <v>23.63</v>
      </c>
      <c r="W2">
        <v>50</v>
      </c>
      <c r="X2">
        <v>0</v>
      </c>
      <c r="Y2">
        <v>0</v>
      </c>
      <c r="Z2">
        <v>23.63</v>
      </c>
      <c r="AA2">
        <v>0</v>
      </c>
      <c r="AB2">
        <v>0</v>
      </c>
      <c r="AC2">
        <v>0</v>
      </c>
      <c r="AD2" s="2">
        <v>45642</v>
      </c>
      <c r="AE2" t="s">
        <v>34</v>
      </c>
      <c r="AF2">
        <v>51</v>
      </c>
      <c r="AG2">
        <v>23.63</v>
      </c>
      <c r="AH2">
        <v>0</v>
      </c>
      <c r="AI2">
        <v>0</v>
      </c>
      <c r="AJ2">
        <v>51</v>
      </c>
      <c r="AK2">
        <v>22.86</v>
      </c>
      <c r="AL2">
        <v>0.77</v>
      </c>
      <c r="AM2">
        <v>12.02</v>
      </c>
      <c r="AN2">
        <v>11.58</v>
      </c>
      <c r="AO2">
        <v>2.16</v>
      </c>
      <c r="AP2">
        <v>64</v>
      </c>
      <c r="AQ2">
        <v>0</v>
      </c>
      <c r="AR2">
        <v>2</v>
      </c>
      <c r="AS2">
        <v>23.63</v>
      </c>
      <c r="AU2">
        <v>0.1</v>
      </c>
      <c r="AV2">
        <v>0.05</v>
      </c>
      <c r="AW2">
        <v>0.7</v>
      </c>
      <c r="AX2">
        <v>31.45</v>
      </c>
      <c r="AY2">
        <v>41.4</v>
      </c>
      <c r="AZ2">
        <v>0.65</v>
      </c>
      <c r="BA2">
        <v>0.98</v>
      </c>
      <c r="BB2">
        <v>0.96</v>
      </c>
      <c r="BC2">
        <v>0.94</v>
      </c>
      <c r="BD2">
        <v>0.2</v>
      </c>
      <c r="BE2">
        <v>0.1</v>
      </c>
      <c r="BF2">
        <v>0.05</v>
      </c>
      <c r="BG2">
        <v>0.05</v>
      </c>
      <c r="BH2">
        <v>70</v>
      </c>
      <c r="BI2">
        <v>0</v>
      </c>
      <c r="BJ2">
        <v>557.66</v>
      </c>
    </row>
    <row r="3" spans="1:62" x14ac:dyDescent="0.3">
      <c r="A3" t="s">
        <v>12</v>
      </c>
      <c r="B3">
        <v>210</v>
      </c>
      <c r="C3">
        <v>209.74</v>
      </c>
      <c r="D3">
        <v>140</v>
      </c>
      <c r="E3">
        <v>69.740000000000009</v>
      </c>
      <c r="F3" s="73">
        <v>0.99876190476190496</v>
      </c>
      <c r="G3">
        <v>2866.5</v>
      </c>
      <c r="H3">
        <v>1858.5709999999999</v>
      </c>
      <c r="I3">
        <v>1453.8680000000004</v>
      </c>
      <c r="J3">
        <v>0</v>
      </c>
      <c r="K3">
        <v>0</v>
      </c>
      <c r="L3">
        <v>0.977653631284916</v>
      </c>
      <c r="M3">
        <v>5.7142857142857099E-3</v>
      </c>
      <c r="N3">
        <v>726.93399999999997</v>
      </c>
      <c r="O3">
        <v>0</v>
      </c>
      <c r="P3">
        <v>0.79121769810241205</v>
      </c>
      <c r="Q3">
        <v>363.46699999999998</v>
      </c>
      <c r="R3">
        <v>139.47999999999999</v>
      </c>
      <c r="S3">
        <v>0</v>
      </c>
      <c r="T3">
        <v>0</v>
      </c>
      <c r="U3">
        <v>7408.82</v>
      </c>
      <c r="V3">
        <v>209.74</v>
      </c>
      <c r="W3">
        <v>210</v>
      </c>
      <c r="X3">
        <v>1453.8679999999999</v>
      </c>
      <c r="Y3">
        <v>2</v>
      </c>
      <c r="Z3">
        <v>209.74</v>
      </c>
      <c r="AA3">
        <v>0</v>
      </c>
      <c r="AB3">
        <v>726.93399999999997</v>
      </c>
      <c r="AC3">
        <v>0</v>
      </c>
      <c r="AD3" s="2">
        <v>45642</v>
      </c>
      <c r="AE3" t="s">
        <v>48</v>
      </c>
      <c r="AF3">
        <v>330</v>
      </c>
      <c r="AG3">
        <v>210.12</v>
      </c>
      <c r="AH3">
        <v>0.38</v>
      </c>
      <c r="AI3">
        <v>36</v>
      </c>
      <c r="AJ3">
        <v>294</v>
      </c>
      <c r="AK3">
        <v>165.95</v>
      </c>
      <c r="AL3">
        <v>43.78</v>
      </c>
      <c r="AM3">
        <v>45.35</v>
      </c>
      <c r="AN3">
        <v>40.989999999999995</v>
      </c>
      <c r="AO3">
        <v>9.3699999999999992</v>
      </c>
      <c r="AP3">
        <v>350</v>
      </c>
      <c r="AQ3">
        <v>6</v>
      </c>
      <c r="AR3">
        <v>2</v>
      </c>
      <c r="AS3">
        <v>168.79000000000002</v>
      </c>
      <c r="AU3">
        <v>0.1</v>
      </c>
      <c r="AV3">
        <v>0.05</v>
      </c>
      <c r="AW3">
        <v>0.7</v>
      </c>
      <c r="AX3">
        <v>31.5</v>
      </c>
      <c r="AY3">
        <v>41</v>
      </c>
      <c r="AZ3">
        <v>0.65</v>
      </c>
      <c r="BA3">
        <v>0.98</v>
      </c>
      <c r="BB3">
        <v>0.96</v>
      </c>
      <c r="BC3">
        <v>0.94</v>
      </c>
      <c r="BD3">
        <v>0.2</v>
      </c>
      <c r="BE3">
        <v>0.1</v>
      </c>
      <c r="BF3">
        <v>0.05</v>
      </c>
      <c r="BG3">
        <v>0.05</v>
      </c>
      <c r="BH3">
        <v>140</v>
      </c>
      <c r="BI3">
        <v>0</v>
      </c>
      <c r="BJ3">
        <v>3690.53999999999</v>
      </c>
    </row>
    <row r="4" spans="1:62" x14ac:dyDescent="0.3">
      <c r="A4" t="s">
        <v>12</v>
      </c>
      <c r="B4">
        <v>191</v>
      </c>
      <c r="C4">
        <v>190.32</v>
      </c>
      <c r="D4">
        <v>140</v>
      </c>
      <c r="E4">
        <v>50.319999999999993</v>
      </c>
      <c r="F4" s="73">
        <v>1</v>
      </c>
      <c r="G4">
        <v>2861.95</v>
      </c>
      <c r="H4">
        <v>1354.1112000000001</v>
      </c>
      <c r="I4">
        <v>1297.2495999999999</v>
      </c>
      <c r="J4">
        <v>0</v>
      </c>
      <c r="K4">
        <v>0</v>
      </c>
      <c r="L4">
        <v>0.99054373522458605</v>
      </c>
      <c r="M4">
        <v>3.5799522673030999E-2</v>
      </c>
      <c r="N4">
        <v>648.62480000000005</v>
      </c>
      <c r="O4">
        <v>0</v>
      </c>
      <c r="P4">
        <v>0.88939680538041199</v>
      </c>
      <c r="Q4">
        <v>324.31240000000003</v>
      </c>
      <c r="R4">
        <v>152.75</v>
      </c>
      <c r="S4">
        <v>0</v>
      </c>
      <c r="T4">
        <v>0</v>
      </c>
      <c r="U4">
        <v>6638.9979999999996</v>
      </c>
      <c r="V4">
        <v>190.32</v>
      </c>
      <c r="W4">
        <v>180</v>
      </c>
      <c r="X4">
        <v>1297.2496000000001</v>
      </c>
      <c r="Y4">
        <v>4</v>
      </c>
      <c r="Z4">
        <v>190.32</v>
      </c>
      <c r="AA4">
        <v>0</v>
      </c>
      <c r="AB4">
        <v>648.62480000000005</v>
      </c>
      <c r="AC4">
        <v>11</v>
      </c>
      <c r="AD4" s="2">
        <v>45642</v>
      </c>
      <c r="AE4" t="s">
        <v>37</v>
      </c>
      <c r="AF4">
        <v>346</v>
      </c>
      <c r="AG4">
        <v>192.69</v>
      </c>
      <c r="AH4">
        <v>2.37</v>
      </c>
      <c r="AI4">
        <v>23</v>
      </c>
      <c r="AJ4">
        <v>323</v>
      </c>
      <c r="AK4">
        <v>169.26999999999998</v>
      </c>
      <c r="AL4">
        <v>21.04</v>
      </c>
      <c r="AM4">
        <v>73.400000000000006</v>
      </c>
      <c r="AN4">
        <v>66.88000000000001</v>
      </c>
      <c r="AO4">
        <v>12.6</v>
      </c>
      <c r="AP4">
        <v>419</v>
      </c>
      <c r="AQ4">
        <v>0</v>
      </c>
      <c r="AR4">
        <v>15</v>
      </c>
      <c r="AS4">
        <v>138.45999999999998</v>
      </c>
      <c r="AU4">
        <v>0.1</v>
      </c>
      <c r="AV4">
        <v>0.05</v>
      </c>
      <c r="AW4">
        <v>0.7</v>
      </c>
      <c r="AX4">
        <v>31.45</v>
      </c>
      <c r="AY4">
        <v>41.4</v>
      </c>
      <c r="AZ4">
        <v>0.65</v>
      </c>
      <c r="BA4">
        <v>0.98</v>
      </c>
      <c r="BB4">
        <v>0.96</v>
      </c>
      <c r="BC4">
        <v>0.94</v>
      </c>
      <c r="BD4">
        <v>0.2</v>
      </c>
      <c r="BE4">
        <v>0.1</v>
      </c>
      <c r="BF4">
        <v>0.05</v>
      </c>
      <c r="BG4">
        <v>0.05</v>
      </c>
      <c r="BH4">
        <v>140</v>
      </c>
      <c r="BI4">
        <v>0</v>
      </c>
      <c r="BJ4">
        <v>4203.9299999999985</v>
      </c>
    </row>
    <row r="5" spans="1:62" x14ac:dyDescent="0.3">
      <c r="A5" t="s">
        <v>12</v>
      </c>
      <c r="B5">
        <v>60</v>
      </c>
      <c r="C5">
        <v>50.22</v>
      </c>
      <c r="D5">
        <v>50.22</v>
      </c>
      <c r="E5">
        <v>0</v>
      </c>
      <c r="F5" s="73">
        <v>0.83699999999999997</v>
      </c>
      <c r="G5">
        <v>0</v>
      </c>
      <c r="H5">
        <v>0</v>
      </c>
      <c r="I5">
        <v>0</v>
      </c>
      <c r="J5">
        <v>0</v>
      </c>
      <c r="K5">
        <v>0</v>
      </c>
      <c r="L5">
        <v>1</v>
      </c>
      <c r="M5">
        <v>8.0000000000000002E-3</v>
      </c>
      <c r="N5">
        <v>0</v>
      </c>
      <c r="O5">
        <v>0</v>
      </c>
      <c r="P5">
        <v>0.95659099960175198</v>
      </c>
      <c r="Q5">
        <v>0</v>
      </c>
      <c r="R5">
        <v>28</v>
      </c>
      <c r="S5">
        <v>0</v>
      </c>
      <c r="T5">
        <v>1217.8499999999999</v>
      </c>
      <c r="U5">
        <v>1245.8499999999999</v>
      </c>
      <c r="V5">
        <v>50.22</v>
      </c>
      <c r="W5">
        <v>60</v>
      </c>
      <c r="X5">
        <v>0</v>
      </c>
      <c r="Y5">
        <v>0</v>
      </c>
      <c r="Z5">
        <v>50.22</v>
      </c>
      <c r="AA5">
        <v>0</v>
      </c>
      <c r="AB5">
        <v>0</v>
      </c>
      <c r="AC5">
        <v>0</v>
      </c>
      <c r="AD5" s="2">
        <v>45642</v>
      </c>
      <c r="AE5" t="s">
        <v>44</v>
      </c>
      <c r="AF5">
        <v>116</v>
      </c>
      <c r="AG5">
        <v>50.23</v>
      </c>
      <c r="AH5">
        <v>0.01</v>
      </c>
      <c r="AI5">
        <v>0</v>
      </c>
      <c r="AJ5">
        <v>116</v>
      </c>
      <c r="AK5">
        <v>48.04</v>
      </c>
      <c r="AL5">
        <v>2.1800000000000002</v>
      </c>
      <c r="AM5">
        <v>16.25</v>
      </c>
      <c r="AN5">
        <v>15.78</v>
      </c>
      <c r="AO5">
        <v>2.31</v>
      </c>
      <c r="AP5">
        <v>125</v>
      </c>
      <c r="AQ5">
        <v>0</v>
      </c>
      <c r="AR5">
        <v>1</v>
      </c>
      <c r="AS5">
        <v>50.22</v>
      </c>
      <c r="AU5">
        <v>0.1</v>
      </c>
      <c r="AV5">
        <v>0.05</v>
      </c>
      <c r="AW5">
        <v>0.7</v>
      </c>
      <c r="AX5">
        <v>31.45</v>
      </c>
      <c r="AY5">
        <v>41.4</v>
      </c>
      <c r="AZ5">
        <v>0.65</v>
      </c>
      <c r="BA5">
        <v>0.98</v>
      </c>
      <c r="BB5">
        <v>0.96</v>
      </c>
      <c r="BC5">
        <v>0.94</v>
      </c>
      <c r="BD5">
        <v>0.2</v>
      </c>
      <c r="BE5">
        <v>0.1</v>
      </c>
      <c r="BF5">
        <v>0.05</v>
      </c>
      <c r="BG5">
        <v>0.05</v>
      </c>
      <c r="BH5">
        <v>70</v>
      </c>
      <c r="BI5">
        <v>0</v>
      </c>
      <c r="BJ5">
        <v>1217.8499999999999</v>
      </c>
    </row>
    <row r="6" spans="1:62" x14ac:dyDescent="0.3">
      <c r="A6" t="s">
        <v>12</v>
      </c>
      <c r="B6">
        <v>85</v>
      </c>
      <c r="C6">
        <v>83.74</v>
      </c>
      <c r="D6">
        <v>70</v>
      </c>
      <c r="E6">
        <v>13.739999999999995</v>
      </c>
      <c r="F6" s="73">
        <v>0.98517647058823499</v>
      </c>
      <c r="G6">
        <v>1430.9749999999999</v>
      </c>
      <c r="H6">
        <v>369.74340000000001</v>
      </c>
      <c r="I6">
        <v>554.06719999999996</v>
      </c>
      <c r="J6">
        <v>0</v>
      </c>
      <c r="K6">
        <v>0</v>
      </c>
      <c r="L6">
        <v>0.85465116279069797</v>
      </c>
      <c r="M6">
        <v>2.7210884353741499E-2</v>
      </c>
      <c r="N6">
        <v>0</v>
      </c>
      <c r="O6">
        <v>0</v>
      </c>
      <c r="P6">
        <v>0.76546453307857598</v>
      </c>
      <c r="Q6">
        <v>138.51679999999999</v>
      </c>
      <c r="R6">
        <v>54.89</v>
      </c>
      <c r="S6">
        <v>0</v>
      </c>
      <c r="T6">
        <v>0</v>
      </c>
      <c r="U6">
        <v>2548.1923999999999</v>
      </c>
      <c r="V6">
        <v>83.74</v>
      </c>
      <c r="W6">
        <v>85</v>
      </c>
      <c r="X6">
        <v>554.06719999999996</v>
      </c>
      <c r="Y6">
        <v>16</v>
      </c>
      <c r="Z6">
        <v>0</v>
      </c>
      <c r="AA6">
        <v>0</v>
      </c>
      <c r="AB6">
        <v>0</v>
      </c>
      <c r="AC6">
        <v>0</v>
      </c>
      <c r="AD6" s="2">
        <v>45642</v>
      </c>
      <c r="AE6" t="s">
        <v>65</v>
      </c>
      <c r="AF6">
        <v>126</v>
      </c>
      <c r="AG6">
        <v>84.759999999999991</v>
      </c>
      <c r="AH6">
        <v>1.02</v>
      </c>
      <c r="AI6">
        <v>17</v>
      </c>
      <c r="AJ6">
        <v>109</v>
      </c>
      <c r="AK6">
        <v>64.099999999999994</v>
      </c>
      <c r="AL6">
        <v>19.64</v>
      </c>
      <c r="AM6">
        <v>20.090000000000003</v>
      </c>
      <c r="AN6">
        <v>17.170000000000002</v>
      </c>
      <c r="AO6">
        <v>2.99</v>
      </c>
      <c r="AP6">
        <v>147</v>
      </c>
      <c r="AQ6">
        <v>9</v>
      </c>
      <c r="AR6">
        <v>4</v>
      </c>
      <c r="AS6">
        <v>0</v>
      </c>
      <c r="AU6">
        <v>0.1</v>
      </c>
      <c r="AV6">
        <v>0.05</v>
      </c>
      <c r="AW6">
        <v>0.7</v>
      </c>
      <c r="AX6">
        <v>31.45</v>
      </c>
      <c r="AY6">
        <v>41.4</v>
      </c>
      <c r="AZ6">
        <v>0.65</v>
      </c>
      <c r="BA6">
        <v>0.98</v>
      </c>
      <c r="BB6">
        <v>0.96</v>
      </c>
      <c r="BC6">
        <v>0.94</v>
      </c>
      <c r="BD6">
        <v>0.2</v>
      </c>
      <c r="BE6">
        <v>0.1</v>
      </c>
      <c r="BF6">
        <v>0.05</v>
      </c>
      <c r="BG6">
        <v>0.05</v>
      </c>
      <c r="BH6">
        <v>70</v>
      </c>
      <c r="BI6">
        <v>83.74</v>
      </c>
      <c r="BJ6">
        <v>1541.6599999999989</v>
      </c>
    </row>
    <row r="7" spans="1:62" x14ac:dyDescent="0.3">
      <c r="A7" t="s">
        <v>13</v>
      </c>
      <c r="B7">
        <v>50</v>
      </c>
      <c r="C7">
        <v>24.35</v>
      </c>
      <c r="D7">
        <v>24.35</v>
      </c>
      <c r="E7">
        <v>0</v>
      </c>
      <c r="F7" s="73">
        <v>0.48699999999999999</v>
      </c>
      <c r="G7">
        <v>0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0.92772073921971199</v>
      </c>
      <c r="Q7">
        <v>0</v>
      </c>
      <c r="R7">
        <v>70</v>
      </c>
      <c r="S7">
        <v>0</v>
      </c>
      <c r="T7">
        <v>515.36</v>
      </c>
      <c r="U7">
        <v>585.36</v>
      </c>
      <c r="V7">
        <v>24.35</v>
      </c>
      <c r="W7">
        <v>50</v>
      </c>
      <c r="X7">
        <v>0</v>
      </c>
      <c r="Y7">
        <v>0</v>
      </c>
      <c r="Z7">
        <v>24.35</v>
      </c>
      <c r="AA7">
        <v>0</v>
      </c>
      <c r="AB7">
        <v>0</v>
      </c>
      <c r="AC7">
        <v>0</v>
      </c>
      <c r="AD7" s="2">
        <v>45649</v>
      </c>
      <c r="AE7" t="s">
        <v>34</v>
      </c>
      <c r="AF7">
        <v>59</v>
      </c>
      <c r="AG7">
        <v>24.35</v>
      </c>
      <c r="AH7">
        <v>0</v>
      </c>
      <c r="AI7">
        <v>0</v>
      </c>
      <c r="AJ7">
        <v>59</v>
      </c>
      <c r="AK7">
        <v>22.59</v>
      </c>
      <c r="AL7">
        <v>1.75</v>
      </c>
      <c r="AM7">
        <v>0</v>
      </c>
      <c r="AN7">
        <v>0</v>
      </c>
      <c r="AO7">
        <v>2.42</v>
      </c>
      <c r="AP7">
        <v>68</v>
      </c>
      <c r="AQ7">
        <v>0</v>
      </c>
      <c r="AR7">
        <v>0</v>
      </c>
      <c r="AS7">
        <v>24.35</v>
      </c>
      <c r="AU7">
        <v>0.1</v>
      </c>
      <c r="AV7">
        <v>0.05</v>
      </c>
      <c r="AW7">
        <v>0.7</v>
      </c>
      <c r="AX7">
        <v>31.45</v>
      </c>
      <c r="AY7">
        <v>41.4</v>
      </c>
      <c r="AZ7">
        <v>0.65</v>
      </c>
      <c r="BA7">
        <v>0.98</v>
      </c>
      <c r="BB7">
        <v>0.96</v>
      </c>
      <c r="BC7">
        <v>0.94</v>
      </c>
      <c r="BD7">
        <v>0.2</v>
      </c>
      <c r="BE7">
        <v>0.1</v>
      </c>
      <c r="BF7">
        <v>0.05</v>
      </c>
      <c r="BG7">
        <v>0.05</v>
      </c>
      <c r="BH7">
        <v>70</v>
      </c>
      <c r="BI7">
        <v>0</v>
      </c>
      <c r="BJ7">
        <v>515.36</v>
      </c>
    </row>
    <row r="8" spans="1:62" x14ac:dyDescent="0.3">
      <c r="A8" t="s">
        <v>13</v>
      </c>
      <c r="B8">
        <v>220</v>
      </c>
      <c r="C8">
        <v>221.13</v>
      </c>
      <c r="D8">
        <v>140</v>
      </c>
      <c r="E8">
        <v>80</v>
      </c>
      <c r="F8" s="73">
        <v>1</v>
      </c>
      <c r="G8">
        <v>2866.5</v>
      </c>
      <c r="H8">
        <v>2132</v>
      </c>
      <c r="I8">
        <v>1538.0000000000002</v>
      </c>
      <c r="J8">
        <v>0</v>
      </c>
      <c r="K8">
        <v>0</v>
      </c>
      <c r="L8">
        <v>0.965034965034965</v>
      </c>
      <c r="M8">
        <v>1.9323671497584499E-2</v>
      </c>
      <c r="N8">
        <v>769</v>
      </c>
      <c r="O8">
        <v>0</v>
      </c>
      <c r="P8">
        <v>0.69506625062180605</v>
      </c>
      <c r="Q8">
        <v>0</v>
      </c>
      <c r="R8">
        <v>129.03</v>
      </c>
      <c r="S8">
        <v>0</v>
      </c>
      <c r="T8">
        <v>0</v>
      </c>
      <c r="U8">
        <v>7434.53</v>
      </c>
      <c r="V8">
        <v>220</v>
      </c>
      <c r="W8">
        <v>220</v>
      </c>
      <c r="X8">
        <v>1538</v>
      </c>
      <c r="Y8">
        <v>1</v>
      </c>
      <c r="Z8">
        <v>220</v>
      </c>
      <c r="AA8">
        <v>0</v>
      </c>
      <c r="AB8">
        <v>769</v>
      </c>
      <c r="AC8">
        <v>0</v>
      </c>
      <c r="AD8" s="2">
        <v>45649</v>
      </c>
      <c r="AE8" t="s">
        <v>48</v>
      </c>
      <c r="AF8">
        <v>359</v>
      </c>
      <c r="AG8">
        <v>221.25</v>
      </c>
      <c r="AH8">
        <v>0.12000000000000001</v>
      </c>
      <c r="AI8">
        <v>17</v>
      </c>
      <c r="AJ8">
        <v>342</v>
      </c>
      <c r="AK8">
        <v>153.70000000000002</v>
      </c>
      <c r="AL8">
        <v>67.42</v>
      </c>
      <c r="AM8">
        <v>57.440000000000005</v>
      </c>
      <c r="AN8">
        <v>44.120000000000005</v>
      </c>
      <c r="AO8">
        <v>10.51</v>
      </c>
      <c r="AP8">
        <v>414</v>
      </c>
      <c r="AQ8">
        <v>14</v>
      </c>
      <c r="AR8">
        <v>8</v>
      </c>
      <c r="AS8">
        <v>190.96</v>
      </c>
      <c r="AU8">
        <v>0.1</v>
      </c>
      <c r="AV8">
        <v>0.05</v>
      </c>
      <c r="AW8">
        <v>0.7</v>
      </c>
      <c r="AX8">
        <v>31.5</v>
      </c>
      <c r="AY8">
        <v>41</v>
      </c>
      <c r="AZ8">
        <v>0.65</v>
      </c>
      <c r="BA8">
        <v>0.98</v>
      </c>
      <c r="BB8">
        <v>0.96</v>
      </c>
      <c r="BC8">
        <v>0.94</v>
      </c>
      <c r="BD8">
        <v>0.2</v>
      </c>
      <c r="BE8">
        <v>0.1</v>
      </c>
      <c r="BF8">
        <v>0.05</v>
      </c>
      <c r="BG8">
        <v>0.05</v>
      </c>
      <c r="BH8">
        <v>140</v>
      </c>
      <c r="BI8">
        <v>0</v>
      </c>
      <c r="BJ8">
        <v>3061.0299999999966</v>
      </c>
    </row>
    <row r="9" spans="1:62" x14ac:dyDescent="0.3">
      <c r="A9" t="s">
        <v>13</v>
      </c>
      <c r="B9">
        <v>206</v>
      </c>
      <c r="C9">
        <v>205.48</v>
      </c>
      <c r="D9">
        <v>140</v>
      </c>
      <c r="E9">
        <v>65.47999999999999</v>
      </c>
      <c r="F9" s="73">
        <v>1</v>
      </c>
      <c r="G9">
        <v>2861.95</v>
      </c>
      <c r="H9">
        <v>1762.0668000000001</v>
      </c>
      <c r="I9">
        <v>1422.7743999999998</v>
      </c>
      <c r="J9">
        <v>0</v>
      </c>
      <c r="K9">
        <v>0</v>
      </c>
      <c r="L9">
        <v>0.99120879120879102</v>
      </c>
      <c r="M9">
        <v>3.54767184035477E-2</v>
      </c>
      <c r="N9">
        <v>711.38720000000001</v>
      </c>
      <c r="O9">
        <v>0</v>
      </c>
      <c r="P9">
        <v>0.83633443644150296</v>
      </c>
      <c r="Q9">
        <v>355.6936</v>
      </c>
      <c r="R9">
        <v>140.38999999999999</v>
      </c>
      <c r="S9">
        <v>0</v>
      </c>
      <c r="T9">
        <v>0</v>
      </c>
      <c r="U9">
        <v>7254.2619999999997</v>
      </c>
      <c r="V9">
        <v>205.48</v>
      </c>
      <c r="W9">
        <v>205</v>
      </c>
      <c r="X9">
        <v>1422.7744</v>
      </c>
      <c r="Y9">
        <v>3</v>
      </c>
      <c r="Z9">
        <v>205.48</v>
      </c>
      <c r="AA9">
        <v>0</v>
      </c>
      <c r="AB9">
        <v>711.38720000000001</v>
      </c>
      <c r="AC9">
        <v>1</v>
      </c>
      <c r="AD9" s="2">
        <v>45649</v>
      </c>
      <c r="AE9" t="s">
        <v>37</v>
      </c>
      <c r="AF9">
        <v>383</v>
      </c>
      <c r="AG9">
        <v>210.51000000000002</v>
      </c>
      <c r="AH9">
        <v>5.03</v>
      </c>
      <c r="AI9">
        <v>42</v>
      </c>
      <c r="AJ9">
        <v>341</v>
      </c>
      <c r="AK9">
        <v>171.85</v>
      </c>
      <c r="AL9">
        <v>33.620000000000005</v>
      </c>
      <c r="AM9">
        <v>85.1</v>
      </c>
      <c r="AN9">
        <v>71.489999999999995</v>
      </c>
      <c r="AO9">
        <v>12.5</v>
      </c>
      <c r="AP9">
        <v>451</v>
      </c>
      <c r="AQ9">
        <v>1</v>
      </c>
      <c r="AR9">
        <v>16</v>
      </c>
      <c r="AS9">
        <v>148.26000000000002</v>
      </c>
      <c r="AU9">
        <v>0.1</v>
      </c>
      <c r="AV9">
        <v>0.05</v>
      </c>
      <c r="AW9">
        <v>0.7</v>
      </c>
      <c r="AX9">
        <v>31.45</v>
      </c>
      <c r="AY9">
        <v>41.4</v>
      </c>
      <c r="AZ9">
        <v>0.65</v>
      </c>
      <c r="BA9">
        <v>0.98</v>
      </c>
      <c r="BB9">
        <v>0.96</v>
      </c>
      <c r="BC9">
        <v>0.94</v>
      </c>
      <c r="BD9">
        <v>0.2</v>
      </c>
      <c r="BE9">
        <v>0.1</v>
      </c>
      <c r="BF9">
        <v>0.05</v>
      </c>
      <c r="BG9">
        <v>0.05</v>
      </c>
      <c r="BH9">
        <v>140</v>
      </c>
      <c r="BI9">
        <v>0</v>
      </c>
      <c r="BJ9">
        <v>3911.1699999999951</v>
      </c>
    </row>
    <row r="10" spans="1:62" x14ac:dyDescent="0.3">
      <c r="A10" t="s">
        <v>13</v>
      </c>
      <c r="B10">
        <v>60</v>
      </c>
      <c r="C10">
        <v>26.38</v>
      </c>
      <c r="D10">
        <v>26.38</v>
      </c>
      <c r="E10">
        <v>0</v>
      </c>
      <c r="F10" s="73">
        <v>0.43966666666666698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0</v>
      </c>
      <c r="O10">
        <v>0</v>
      </c>
      <c r="P10">
        <v>0.94806671721000801</v>
      </c>
      <c r="Q10">
        <v>0</v>
      </c>
      <c r="R10">
        <v>17.59</v>
      </c>
      <c r="S10">
        <v>0</v>
      </c>
      <c r="T10">
        <v>588.719999999999</v>
      </c>
      <c r="U10">
        <v>606.30999999999995</v>
      </c>
      <c r="V10">
        <v>26.38</v>
      </c>
      <c r="W10">
        <v>60</v>
      </c>
      <c r="X10">
        <v>0</v>
      </c>
      <c r="Y10">
        <v>0</v>
      </c>
      <c r="Z10">
        <v>26.38</v>
      </c>
      <c r="AA10">
        <v>0</v>
      </c>
      <c r="AB10">
        <v>0</v>
      </c>
      <c r="AC10">
        <v>0</v>
      </c>
      <c r="AD10" s="2">
        <v>45649</v>
      </c>
      <c r="AE10" t="s">
        <v>44</v>
      </c>
      <c r="AF10">
        <v>70</v>
      </c>
      <c r="AG10">
        <v>26.38</v>
      </c>
      <c r="AH10">
        <v>0</v>
      </c>
      <c r="AI10">
        <v>0</v>
      </c>
      <c r="AJ10">
        <v>70</v>
      </c>
      <c r="AK10">
        <v>25.01</v>
      </c>
      <c r="AL10">
        <v>1.36</v>
      </c>
      <c r="AM10">
        <v>14.51</v>
      </c>
      <c r="AN10">
        <v>14.04</v>
      </c>
      <c r="AO10">
        <v>2.65</v>
      </c>
      <c r="AP10">
        <v>74</v>
      </c>
      <c r="AQ10">
        <v>0</v>
      </c>
      <c r="AR10">
        <v>0</v>
      </c>
      <c r="AS10">
        <v>26.38</v>
      </c>
      <c r="AU10">
        <v>0.1</v>
      </c>
      <c r="AV10">
        <v>0.05</v>
      </c>
      <c r="AW10">
        <v>0.7</v>
      </c>
      <c r="AX10">
        <v>31.45</v>
      </c>
      <c r="AY10">
        <v>41.4</v>
      </c>
      <c r="AZ10">
        <v>0.65</v>
      </c>
      <c r="BA10">
        <v>0.98</v>
      </c>
      <c r="BB10">
        <v>0.96</v>
      </c>
      <c r="BC10">
        <v>0.94</v>
      </c>
      <c r="BD10">
        <v>0.2</v>
      </c>
      <c r="BE10">
        <v>0.1</v>
      </c>
      <c r="BF10">
        <v>0.05</v>
      </c>
      <c r="BG10">
        <v>0.05</v>
      </c>
      <c r="BH10">
        <v>70</v>
      </c>
      <c r="BI10">
        <v>0</v>
      </c>
      <c r="BJ10">
        <v>588.719999999999</v>
      </c>
    </row>
    <row r="11" spans="1:62" x14ac:dyDescent="0.3">
      <c r="A11" t="s">
        <v>13</v>
      </c>
      <c r="B11">
        <v>107</v>
      </c>
      <c r="C11">
        <v>106.97</v>
      </c>
      <c r="D11">
        <v>70</v>
      </c>
      <c r="E11">
        <v>36.97</v>
      </c>
      <c r="F11" s="73">
        <v>1</v>
      </c>
      <c r="G11">
        <v>1430.9749999999999</v>
      </c>
      <c r="H11">
        <v>994.86270000000002</v>
      </c>
      <c r="I11">
        <v>746.41159999999991</v>
      </c>
      <c r="J11">
        <v>0</v>
      </c>
      <c r="K11">
        <v>0</v>
      </c>
      <c r="L11">
        <v>0.93467336683417102</v>
      </c>
      <c r="M11">
        <v>1.6129032258064498E-2</v>
      </c>
      <c r="N11">
        <v>0</v>
      </c>
      <c r="O11">
        <v>186.60290000000001</v>
      </c>
      <c r="P11">
        <v>0.76255024773300895</v>
      </c>
      <c r="Q11">
        <v>186.60290000000001</v>
      </c>
      <c r="R11">
        <v>143.81</v>
      </c>
      <c r="S11">
        <v>0</v>
      </c>
      <c r="T11">
        <v>0</v>
      </c>
      <c r="U11">
        <v>3689.2651000000001</v>
      </c>
      <c r="V11">
        <v>106.97</v>
      </c>
      <c r="W11">
        <v>100</v>
      </c>
      <c r="X11">
        <v>746.41160000000002</v>
      </c>
      <c r="Y11">
        <v>6</v>
      </c>
      <c r="Z11">
        <v>0</v>
      </c>
      <c r="AA11">
        <v>106.97</v>
      </c>
      <c r="AB11">
        <v>186.60290000000001</v>
      </c>
      <c r="AC11">
        <v>7</v>
      </c>
      <c r="AD11" s="2">
        <v>45649</v>
      </c>
      <c r="AE11" t="s">
        <v>65</v>
      </c>
      <c r="AF11">
        <v>172</v>
      </c>
      <c r="AG11">
        <v>109.49000000000001</v>
      </c>
      <c r="AH11">
        <v>2.52</v>
      </c>
      <c r="AI11">
        <v>30</v>
      </c>
      <c r="AJ11">
        <v>142</v>
      </c>
      <c r="AK11">
        <v>81.570000000000007</v>
      </c>
      <c r="AL11">
        <v>25.39</v>
      </c>
      <c r="AM11">
        <v>43.36</v>
      </c>
      <c r="AN11">
        <v>39.599999999999994</v>
      </c>
      <c r="AO11">
        <v>4.95</v>
      </c>
      <c r="AP11">
        <v>186</v>
      </c>
      <c r="AQ11">
        <v>7</v>
      </c>
      <c r="AR11">
        <v>3</v>
      </c>
      <c r="AS11">
        <v>49.25</v>
      </c>
      <c r="AU11">
        <v>0.1</v>
      </c>
      <c r="AV11">
        <v>0.05</v>
      </c>
      <c r="AW11">
        <v>0.7</v>
      </c>
      <c r="AX11">
        <v>31.45</v>
      </c>
      <c r="AY11">
        <v>41.4</v>
      </c>
      <c r="AZ11">
        <v>0.65</v>
      </c>
      <c r="BA11">
        <v>0.98</v>
      </c>
      <c r="BB11">
        <v>0.96</v>
      </c>
      <c r="BC11">
        <v>0.94</v>
      </c>
      <c r="BD11">
        <v>0.2</v>
      </c>
      <c r="BE11">
        <v>0.1</v>
      </c>
      <c r="BF11">
        <v>0.05</v>
      </c>
      <c r="BG11">
        <v>0.05</v>
      </c>
      <c r="BH11">
        <v>70</v>
      </c>
      <c r="BI11">
        <v>0</v>
      </c>
      <c r="BJ11">
        <v>1873.13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E98A8-D45C-4F6C-833E-76F174DCB353}">
  <sheetPr codeName="Sheet6"/>
  <dimension ref="A1:D59"/>
  <sheetViews>
    <sheetView workbookViewId="0">
      <selection activeCell="C67" sqref="C67"/>
    </sheetView>
  </sheetViews>
  <sheetFormatPr defaultRowHeight="14.4" x14ac:dyDescent="0.3"/>
  <cols>
    <col min="1" max="1" width="29.6640625" bestFit="1" customWidth="1"/>
    <col min="2" max="2" width="23.109375" bestFit="1" customWidth="1"/>
    <col min="3" max="3" width="45.6640625" bestFit="1" customWidth="1"/>
    <col min="4" max="4" width="45.33203125" bestFit="1" customWidth="1"/>
    <col min="5" max="5" width="45.6640625" bestFit="1" customWidth="1"/>
    <col min="6" max="6" width="45.33203125" bestFit="1" customWidth="1"/>
  </cols>
  <sheetData>
    <row r="1" spans="1:4" x14ac:dyDescent="0.3">
      <c r="A1" t="s">
        <v>166</v>
      </c>
      <c r="B1" t="s">
        <v>225</v>
      </c>
      <c r="C1" t="s">
        <v>226</v>
      </c>
      <c r="D1" t="s">
        <v>227</v>
      </c>
    </row>
    <row r="2" spans="1:4" hidden="1" x14ac:dyDescent="0.3">
      <c r="A2" t="s">
        <v>34</v>
      </c>
      <c r="B2" t="s">
        <v>171</v>
      </c>
    </row>
    <row r="3" spans="1:4" hidden="1" x14ac:dyDescent="0.3">
      <c r="A3" t="s">
        <v>34</v>
      </c>
      <c r="B3" t="s">
        <v>228</v>
      </c>
    </row>
    <row r="4" spans="1:4" hidden="1" x14ac:dyDescent="0.3">
      <c r="A4" t="s">
        <v>37</v>
      </c>
      <c r="B4" t="s">
        <v>174</v>
      </c>
    </row>
    <row r="5" spans="1:4" hidden="1" x14ac:dyDescent="0.3">
      <c r="A5" t="s">
        <v>37</v>
      </c>
      <c r="B5" t="s">
        <v>173</v>
      </c>
    </row>
    <row r="6" spans="1:4" hidden="1" x14ac:dyDescent="0.3">
      <c r="A6" t="s">
        <v>37</v>
      </c>
      <c r="B6" t="s">
        <v>177</v>
      </c>
    </row>
    <row r="7" spans="1:4" hidden="1" x14ac:dyDescent="0.3">
      <c r="A7" t="s">
        <v>37</v>
      </c>
      <c r="B7" t="s">
        <v>181</v>
      </c>
    </row>
    <row r="8" spans="1:4" hidden="1" x14ac:dyDescent="0.3">
      <c r="A8" t="s">
        <v>37</v>
      </c>
      <c r="B8" t="s">
        <v>184</v>
      </c>
    </row>
    <row r="9" spans="1:4" hidden="1" x14ac:dyDescent="0.3">
      <c r="A9" t="s">
        <v>37</v>
      </c>
      <c r="B9" t="s">
        <v>229</v>
      </c>
    </row>
    <row r="10" spans="1:4" hidden="1" x14ac:dyDescent="0.3">
      <c r="A10" t="s">
        <v>37</v>
      </c>
      <c r="B10" t="s">
        <v>185</v>
      </c>
    </row>
    <row r="11" spans="1:4" hidden="1" x14ac:dyDescent="0.3">
      <c r="A11" t="s">
        <v>37</v>
      </c>
      <c r="B11" t="s">
        <v>230</v>
      </c>
    </row>
    <row r="12" spans="1:4" hidden="1" x14ac:dyDescent="0.3">
      <c r="A12" t="s">
        <v>37</v>
      </c>
      <c r="B12" t="s">
        <v>231</v>
      </c>
    </row>
    <row r="13" spans="1:4" hidden="1" x14ac:dyDescent="0.3">
      <c r="A13" t="s">
        <v>37</v>
      </c>
      <c r="B13" t="s">
        <v>232</v>
      </c>
    </row>
    <row r="14" spans="1:4" hidden="1" x14ac:dyDescent="0.3">
      <c r="A14" t="s">
        <v>37</v>
      </c>
      <c r="B14" t="s">
        <v>170</v>
      </c>
    </row>
    <row r="15" spans="1:4" hidden="1" x14ac:dyDescent="0.3">
      <c r="A15" t="s">
        <v>37</v>
      </c>
      <c r="B15" t="s">
        <v>233</v>
      </c>
    </row>
    <row r="16" spans="1:4" hidden="1" x14ac:dyDescent="0.3">
      <c r="A16" t="s">
        <v>37</v>
      </c>
      <c r="B16" t="s">
        <v>234</v>
      </c>
    </row>
    <row r="17" spans="1:2" hidden="1" x14ac:dyDescent="0.3">
      <c r="A17" t="s">
        <v>37</v>
      </c>
      <c r="B17" t="s">
        <v>235</v>
      </c>
    </row>
    <row r="18" spans="1:2" hidden="1" x14ac:dyDescent="0.3">
      <c r="A18" t="s">
        <v>37</v>
      </c>
      <c r="B18" t="s">
        <v>236</v>
      </c>
    </row>
    <row r="19" spans="1:2" hidden="1" x14ac:dyDescent="0.3">
      <c r="A19" t="s">
        <v>48</v>
      </c>
      <c r="B19" t="s">
        <v>237</v>
      </c>
    </row>
    <row r="20" spans="1:2" hidden="1" x14ac:dyDescent="0.3">
      <c r="A20" t="s">
        <v>48</v>
      </c>
      <c r="B20" t="s">
        <v>238</v>
      </c>
    </row>
    <row r="21" spans="1:2" hidden="1" x14ac:dyDescent="0.3">
      <c r="A21" t="s">
        <v>48</v>
      </c>
      <c r="B21" t="s">
        <v>239</v>
      </c>
    </row>
    <row r="22" spans="1:2" hidden="1" x14ac:dyDescent="0.3">
      <c r="A22" t="s">
        <v>48</v>
      </c>
      <c r="B22" t="s">
        <v>240</v>
      </c>
    </row>
    <row r="23" spans="1:2" hidden="1" x14ac:dyDescent="0.3">
      <c r="A23" t="s">
        <v>48</v>
      </c>
      <c r="B23" t="s">
        <v>186</v>
      </c>
    </row>
    <row r="24" spans="1:2" hidden="1" x14ac:dyDescent="0.3">
      <c r="A24" t="s">
        <v>48</v>
      </c>
      <c r="B24" t="s">
        <v>241</v>
      </c>
    </row>
    <row r="25" spans="1:2" hidden="1" x14ac:dyDescent="0.3">
      <c r="A25" t="s">
        <v>48</v>
      </c>
      <c r="B25" t="s">
        <v>180</v>
      </c>
    </row>
    <row r="26" spans="1:2" hidden="1" x14ac:dyDescent="0.3">
      <c r="A26" t="s">
        <v>48</v>
      </c>
      <c r="B26" t="s">
        <v>169</v>
      </c>
    </row>
    <row r="27" spans="1:2" hidden="1" x14ac:dyDescent="0.3">
      <c r="A27" t="s">
        <v>48</v>
      </c>
      <c r="B27" t="s">
        <v>242</v>
      </c>
    </row>
    <row r="28" spans="1:2" hidden="1" x14ac:dyDescent="0.3">
      <c r="A28" t="s">
        <v>48</v>
      </c>
      <c r="B28" t="s">
        <v>175</v>
      </c>
    </row>
    <row r="29" spans="1:2" hidden="1" x14ac:dyDescent="0.3">
      <c r="A29" t="s">
        <v>48</v>
      </c>
      <c r="B29" t="s">
        <v>178</v>
      </c>
    </row>
    <row r="30" spans="1:2" hidden="1" x14ac:dyDescent="0.3">
      <c r="A30" t="s">
        <v>48</v>
      </c>
      <c r="B30" t="s">
        <v>172</v>
      </c>
    </row>
    <row r="31" spans="1:2" hidden="1" x14ac:dyDescent="0.3">
      <c r="A31" t="s">
        <v>48</v>
      </c>
      <c r="B31" t="s">
        <v>243</v>
      </c>
    </row>
    <row r="32" spans="1:2" hidden="1" x14ac:dyDescent="0.3">
      <c r="A32" t="s">
        <v>48</v>
      </c>
      <c r="B32" t="s">
        <v>244</v>
      </c>
    </row>
    <row r="33" spans="1:2" hidden="1" x14ac:dyDescent="0.3">
      <c r="A33" t="s">
        <v>48</v>
      </c>
      <c r="B33" t="s">
        <v>245</v>
      </c>
    </row>
    <row r="34" spans="1:2" hidden="1" x14ac:dyDescent="0.3">
      <c r="A34" t="s">
        <v>48</v>
      </c>
      <c r="B34" t="s">
        <v>246</v>
      </c>
    </row>
    <row r="35" spans="1:2" hidden="1" x14ac:dyDescent="0.3">
      <c r="A35" t="s">
        <v>48</v>
      </c>
      <c r="B35" t="s">
        <v>247</v>
      </c>
    </row>
    <row r="36" spans="1:2" hidden="1" x14ac:dyDescent="0.3">
      <c r="A36" t="s">
        <v>48</v>
      </c>
      <c r="B36" t="s">
        <v>248</v>
      </c>
    </row>
    <row r="37" spans="1:2" hidden="1" x14ac:dyDescent="0.3">
      <c r="A37" t="s">
        <v>48</v>
      </c>
      <c r="B37" t="s">
        <v>249</v>
      </c>
    </row>
    <row r="38" spans="1:2" hidden="1" x14ac:dyDescent="0.3">
      <c r="A38" t="s">
        <v>48</v>
      </c>
      <c r="B38" t="s">
        <v>250</v>
      </c>
    </row>
    <row r="39" spans="1:2" hidden="1" x14ac:dyDescent="0.3">
      <c r="A39" t="s">
        <v>48</v>
      </c>
      <c r="B39" t="s">
        <v>251</v>
      </c>
    </row>
    <row r="40" spans="1:2" hidden="1" x14ac:dyDescent="0.3">
      <c r="A40" t="s">
        <v>48</v>
      </c>
      <c r="B40" t="s">
        <v>252</v>
      </c>
    </row>
    <row r="41" spans="1:2" hidden="1" x14ac:dyDescent="0.3">
      <c r="A41" t="s">
        <v>37</v>
      </c>
      <c r="B41" t="s">
        <v>168</v>
      </c>
    </row>
    <row r="42" spans="1:2" hidden="1" x14ac:dyDescent="0.3">
      <c r="A42" t="s">
        <v>65</v>
      </c>
      <c r="B42" t="s">
        <v>176</v>
      </c>
    </row>
    <row r="43" spans="1:2" hidden="1" x14ac:dyDescent="0.3">
      <c r="A43" t="s">
        <v>65</v>
      </c>
      <c r="B43" t="s">
        <v>253</v>
      </c>
    </row>
    <row r="44" spans="1:2" hidden="1" x14ac:dyDescent="0.3">
      <c r="A44" t="s">
        <v>65</v>
      </c>
      <c r="B44" t="s">
        <v>254</v>
      </c>
    </row>
    <row r="45" spans="1:2" hidden="1" x14ac:dyDescent="0.3">
      <c r="A45" t="s">
        <v>65</v>
      </c>
      <c r="B45" t="s">
        <v>255</v>
      </c>
    </row>
    <row r="46" spans="1:2" hidden="1" x14ac:dyDescent="0.3">
      <c r="A46" t="s">
        <v>65</v>
      </c>
      <c r="B46" t="s">
        <v>256</v>
      </c>
    </row>
    <row r="47" spans="1:2" hidden="1" x14ac:dyDescent="0.3">
      <c r="A47" t="s">
        <v>65</v>
      </c>
      <c r="B47" t="s">
        <v>183</v>
      </c>
    </row>
    <row r="48" spans="1:2" hidden="1" x14ac:dyDescent="0.3">
      <c r="A48" t="s">
        <v>65</v>
      </c>
      <c r="B48" t="s">
        <v>257</v>
      </c>
    </row>
    <row r="49" spans="1:2" hidden="1" x14ac:dyDescent="0.3">
      <c r="A49" t="s">
        <v>65</v>
      </c>
      <c r="B49" t="s">
        <v>258</v>
      </c>
    </row>
    <row r="50" spans="1:2" hidden="1" x14ac:dyDescent="0.3">
      <c r="A50" t="s">
        <v>65</v>
      </c>
      <c r="B50" t="s">
        <v>259</v>
      </c>
    </row>
    <row r="51" spans="1:2" hidden="1" x14ac:dyDescent="0.3">
      <c r="A51" t="s">
        <v>34</v>
      </c>
      <c r="B51" t="s">
        <v>260</v>
      </c>
    </row>
    <row r="52" spans="1:2" hidden="1" x14ac:dyDescent="0.3">
      <c r="A52" t="s">
        <v>44</v>
      </c>
      <c r="B52" t="s">
        <v>261</v>
      </c>
    </row>
    <row r="53" spans="1:2" hidden="1" x14ac:dyDescent="0.3">
      <c r="A53" t="s">
        <v>37</v>
      </c>
      <c r="B53" t="s">
        <v>262</v>
      </c>
    </row>
    <row r="54" spans="1:2" hidden="1" x14ac:dyDescent="0.3">
      <c r="A54" t="s">
        <v>37</v>
      </c>
      <c r="B54" t="s">
        <v>263</v>
      </c>
    </row>
    <row r="55" spans="1:2" hidden="1" x14ac:dyDescent="0.3">
      <c r="A55" t="s">
        <v>44</v>
      </c>
      <c r="B55" t="s">
        <v>187</v>
      </c>
    </row>
    <row r="56" spans="1:2" hidden="1" x14ac:dyDescent="0.3">
      <c r="A56" t="s">
        <v>48</v>
      </c>
      <c r="B56" t="s">
        <v>167</v>
      </c>
    </row>
    <row r="57" spans="1:2" hidden="1" x14ac:dyDescent="0.3">
      <c r="A57" t="s">
        <v>44</v>
      </c>
      <c r="B57" t="s">
        <v>179</v>
      </c>
    </row>
    <row r="58" spans="1:2" hidden="1" x14ac:dyDescent="0.3">
      <c r="A58" t="s">
        <v>37</v>
      </c>
      <c r="B58" t="s">
        <v>182</v>
      </c>
    </row>
    <row r="59" spans="1:2" hidden="1" x14ac:dyDescent="0.3">
      <c r="A59" t="s">
        <v>65</v>
      </c>
      <c r="B59" t="s">
        <v>323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11347-3365-476C-954D-DF3ED57CEBBF}">
  <sheetPr codeName="Sheet13"/>
  <dimension ref="B1:AU39"/>
  <sheetViews>
    <sheetView showGridLines="0" workbookViewId="0">
      <selection activeCell="H22" sqref="H22"/>
    </sheetView>
  </sheetViews>
  <sheetFormatPr defaultColWidth="8.88671875" defaultRowHeight="14.4" x14ac:dyDescent="0.3"/>
  <cols>
    <col min="1" max="1" width="1.5546875" style="6" customWidth="1"/>
    <col min="2" max="2" width="13.6640625" style="7" customWidth="1"/>
    <col min="3" max="3" width="15.44140625" style="6" customWidth="1"/>
    <col min="4" max="4" width="12" style="6" customWidth="1"/>
    <col min="5" max="5" width="14.109375" style="6" customWidth="1"/>
    <col min="6" max="6" width="12.6640625" style="66" customWidth="1"/>
    <col min="7" max="7" width="13.44140625" style="67" customWidth="1"/>
    <col min="8" max="8" width="16" style="5" customWidth="1"/>
    <col min="9" max="9" width="18.5546875" style="5" customWidth="1"/>
    <col min="10" max="10" width="17.109375" style="4" customWidth="1"/>
    <col min="11" max="11" width="18.33203125" style="4" customWidth="1"/>
    <col min="12" max="12" width="12.6640625" style="3" customWidth="1"/>
    <col min="13" max="13" width="15" style="3" customWidth="1"/>
    <col min="14" max="14" width="12.88671875" style="8" customWidth="1"/>
    <col min="15" max="16" width="14.33203125" style="8" customWidth="1"/>
    <col min="17" max="21" width="12.44140625" style="8" customWidth="1"/>
    <col min="22" max="22" width="8.88671875" style="6"/>
    <col min="23" max="23" width="19.6640625" style="6" customWidth="1"/>
    <col min="24" max="24" width="9.5546875" style="49" bestFit="1" customWidth="1"/>
    <col min="25" max="25" width="26.109375" style="6" customWidth="1"/>
    <col min="26" max="26" width="17.33203125" style="6" customWidth="1"/>
    <col min="27" max="27" width="10.5546875" style="3" customWidth="1"/>
    <col min="28" max="28" width="11.6640625" style="4" customWidth="1"/>
    <col min="29" max="29" width="16.88671875" style="4" customWidth="1"/>
    <col min="30" max="30" width="12.44140625" style="8" customWidth="1"/>
    <col min="31" max="32" width="8.88671875" style="8"/>
    <col min="33" max="33" width="16.5546875" style="8" bestFit="1" customWidth="1"/>
    <col min="34" max="34" width="45.109375" style="6" customWidth="1"/>
    <col min="35" max="36" width="8.88671875" style="6"/>
    <col min="37" max="37" width="13.6640625" style="8" customWidth="1"/>
    <col min="38" max="38" width="27.44140625" style="3" customWidth="1"/>
    <col min="39" max="39" width="13.6640625" style="8" customWidth="1"/>
    <col min="40" max="40" width="8.88671875" style="6"/>
    <col min="41" max="41" width="16.33203125" style="6" customWidth="1"/>
    <col min="42" max="42" width="9.5546875" style="49" bestFit="1" customWidth="1"/>
    <col min="43" max="46" width="8.88671875" style="6"/>
    <col min="47" max="47" width="8.88671875" style="64"/>
    <col min="48" max="16384" width="8.88671875" style="6"/>
  </cols>
  <sheetData>
    <row r="1" spans="2:47" ht="9" customHeight="1" thickBot="1" x14ac:dyDescent="0.35">
      <c r="V1" s="8"/>
      <c r="W1" s="8"/>
      <c r="X1" s="8"/>
      <c r="AA1" s="6"/>
      <c r="AB1" s="6"/>
      <c r="AC1" s="6"/>
      <c r="AD1" s="6"/>
      <c r="AE1" s="6"/>
      <c r="AF1" s="6"/>
      <c r="AG1" s="6"/>
      <c r="AL1" s="6"/>
      <c r="AM1" s="6"/>
      <c r="AO1" s="8"/>
      <c r="AP1" s="3"/>
      <c r="AQ1" s="8"/>
      <c r="AU1" s="6"/>
    </row>
    <row r="2" spans="2:47" ht="21" customHeight="1" thickBot="1" x14ac:dyDescent="0.35">
      <c r="B2" s="104" t="s">
        <v>44</v>
      </c>
      <c r="C2" s="104"/>
      <c r="D2" s="104"/>
      <c r="E2" s="104"/>
      <c r="F2" s="104"/>
      <c r="H2" s="28" t="s">
        <v>104</v>
      </c>
      <c r="I2" s="29">
        <v>1234.1600000000001</v>
      </c>
      <c r="M2" s="8"/>
      <c r="V2" s="8"/>
      <c r="W2" s="95"/>
      <c r="X2" s="95" t="s">
        <v>105</v>
      </c>
      <c r="AA2" s="114" t="s">
        <v>106</v>
      </c>
      <c r="AB2" s="114"/>
      <c r="AC2" s="6"/>
      <c r="AD2" s="118" t="s">
        <v>108</v>
      </c>
      <c r="AE2" s="118"/>
      <c r="AF2" s="6"/>
      <c r="AG2" s="118"/>
      <c r="AH2" s="118"/>
      <c r="AK2" s="64"/>
      <c r="AL2" s="62" t="s">
        <v>107</v>
      </c>
      <c r="AM2" s="6"/>
      <c r="AO2" s="114" t="s">
        <v>108</v>
      </c>
      <c r="AP2" s="114"/>
      <c r="AQ2" s="8"/>
      <c r="AS2" s="9"/>
      <c r="AT2" s="9"/>
      <c r="AU2" s="9"/>
    </row>
    <row r="3" spans="2:47" ht="15.6" x14ac:dyDescent="0.3">
      <c r="F3" s="68"/>
      <c r="G3" s="69"/>
      <c r="V3" s="8"/>
      <c r="W3" s="13"/>
      <c r="X3" s="22" t="s">
        <v>109</v>
      </c>
      <c r="Y3" s="94">
        <v>0</v>
      </c>
      <c r="AA3" s="9" t="s">
        <v>84</v>
      </c>
      <c r="AB3" s="10">
        <v>0</v>
      </c>
      <c r="AC3" s="6"/>
      <c r="AD3" s="13" t="s">
        <v>24</v>
      </c>
      <c r="AE3" s="22">
        <v>0</v>
      </c>
      <c r="AF3" s="6"/>
      <c r="AG3" s="13"/>
      <c r="AH3" s="22"/>
      <c r="AL3" s="63" t="e">
        <f>SUMIF(#REF!,$B$2,#REF!)</f>
        <v>#REF!</v>
      </c>
      <c r="AM3" s="6"/>
      <c r="AO3" s="9" t="s">
        <v>24</v>
      </c>
      <c r="AP3" s="10">
        <f>SUMIF(Deduction_and_other_Revenue[PARTNER],$B$2,Deduction_and_other_Revenue[Tolls])</f>
        <v>0</v>
      </c>
      <c r="AQ3" s="8"/>
      <c r="AU3" s="6"/>
    </row>
    <row r="4" spans="2:47" ht="20.399999999999999" customHeight="1" x14ac:dyDescent="0.3">
      <c r="G4" s="6"/>
      <c r="H4" s="67"/>
      <c r="J4" s="108" t="s">
        <v>111</v>
      </c>
      <c r="K4" s="109"/>
      <c r="L4" s="110"/>
      <c r="M4" s="105" t="s">
        <v>112</v>
      </c>
      <c r="N4" s="106"/>
      <c r="O4" s="106"/>
      <c r="P4" s="107"/>
      <c r="W4" s="14"/>
      <c r="X4" s="22" t="s">
        <v>113</v>
      </c>
      <c r="Y4" s="94">
        <v>0</v>
      </c>
      <c r="AA4" s="9" t="s">
        <v>17</v>
      </c>
      <c r="AB4" s="10">
        <v>618</v>
      </c>
      <c r="AC4" s="6"/>
      <c r="AD4" s="6" t="s">
        <v>25</v>
      </c>
      <c r="AE4" s="94">
        <v>0</v>
      </c>
      <c r="AF4" s="6"/>
      <c r="AG4" s="14"/>
      <c r="AH4" s="22"/>
      <c r="AL4" s="6"/>
      <c r="AM4" s="6"/>
      <c r="AO4" s="9" t="s">
        <v>25</v>
      </c>
      <c r="AP4" s="10">
        <f>SUMIF(Deduction_and_other_Revenue[PARTNER],$B$2,Deduction_and_other_Revenue[Camera Tickets])</f>
        <v>0</v>
      </c>
      <c r="AQ4" s="8"/>
      <c r="AU4" s="6"/>
    </row>
    <row r="5" spans="2:47" ht="34.950000000000003" customHeight="1" thickBot="1" x14ac:dyDescent="0.35">
      <c r="B5" s="16" t="s">
        <v>114</v>
      </c>
      <c r="C5" s="24" t="s">
        <v>115</v>
      </c>
      <c r="D5" s="71" t="s">
        <v>116</v>
      </c>
      <c r="E5" s="71" t="s">
        <v>117</v>
      </c>
      <c r="F5" s="71" t="s">
        <v>118</v>
      </c>
      <c r="G5" s="70" t="s">
        <v>119</v>
      </c>
      <c r="H5" s="70" t="s">
        <v>120</v>
      </c>
      <c r="I5" s="77" t="s">
        <v>121</v>
      </c>
      <c r="J5" s="77" t="s">
        <v>122</v>
      </c>
      <c r="K5" s="77" t="s">
        <v>123</v>
      </c>
      <c r="L5" s="77" t="s">
        <v>124</v>
      </c>
      <c r="M5" s="77" t="s">
        <v>125</v>
      </c>
      <c r="N5" s="24" t="s">
        <v>126</v>
      </c>
      <c r="O5" s="24" t="s">
        <v>123</v>
      </c>
      <c r="P5" s="77" t="s">
        <v>124</v>
      </c>
      <c r="Q5" s="77" t="s">
        <v>127</v>
      </c>
      <c r="R5" s="77" t="s">
        <v>128</v>
      </c>
      <c r="S5" s="77" t="s">
        <v>129</v>
      </c>
      <c r="T5" s="77" t="s">
        <v>24</v>
      </c>
      <c r="U5" s="77" t="s">
        <v>130</v>
      </c>
      <c r="V5" s="8" t="s">
        <v>131</v>
      </c>
      <c r="W5" s="14"/>
      <c r="X5" s="23" t="s">
        <v>83</v>
      </c>
      <c r="Y5" s="94">
        <v>0</v>
      </c>
      <c r="AA5" s="9" t="s">
        <v>27</v>
      </c>
      <c r="AB5" s="10">
        <v>0</v>
      </c>
      <c r="AC5" s="6"/>
      <c r="AD5" s="6" t="s">
        <v>26</v>
      </c>
      <c r="AE5" s="75">
        <v>0</v>
      </c>
      <c r="AF5" s="6"/>
      <c r="AG5" s="51"/>
      <c r="AH5" s="52"/>
      <c r="AL5" s="6"/>
      <c r="AM5" s="6"/>
      <c r="AO5" s="9" t="s">
        <v>26</v>
      </c>
      <c r="AP5" s="10">
        <f>SUMIF(Deduction_and_other_Revenue[PARTNER],$B$2,Deduction_and_other_Revenue[Parking Tickets])</f>
        <v>0</v>
      </c>
      <c r="AQ5" s="8"/>
      <c r="AU5" s="6"/>
    </row>
    <row r="6" spans="2:47" x14ac:dyDescent="0.3">
      <c r="B6" s="7" t="s">
        <v>12</v>
      </c>
      <c r="C6" s="69">
        <v>60</v>
      </c>
      <c r="D6" s="4">
        <v>50.22</v>
      </c>
      <c r="E6" s="4">
        <v>50.22</v>
      </c>
      <c r="F6" s="4">
        <v>0</v>
      </c>
      <c r="G6" s="67">
        <v>0.83699999999999997</v>
      </c>
      <c r="H6" s="74">
        <v>0</v>
      </c>
      <c r="I6" s="8">
        <v>0</v>
      </c>
      <c r="J6" s="8">
        <v>0</v>
      </c>
      <c r="K6" s="8">
        <v>0</v>
      </c>
      <c r="L6" s="74">
        <v>0</v>
      </c>
      <c r="M6" s="87">
        <v>1</v>
      </c>
      <c r="N6" s="87">
        <v>8.0000000000000002E-3</v>
      </c>
      <c r="O6" s="8">
        <v>0</v>
      </c>
      <c r="P6" s="74">
        <v>0</v>
      </c>
      <c r="Q6" s="87">
        <v>0.95659099960175198</v>
      </c>
      <c r="R6" s="8">
        <v>0</v>
      </c>
      <c r="S6" s="8">
        <v>28</v>
      </c>
      <c r="T6" s="8">
        <v>0</v>
      </c>
      <c r="U6" s="8">
        <v>1217.8499999999999</v>
      </c>
      <c r="V6" s="8">
        <v>1245.8499999999999</v>
      </c>
      <c r="W6" s="51"/>
      <c r="X6" s="52" t="s">
        <v>132</v>
      </c>
      <c r="Y6" s="94">
        <v>0</v>
      </c>
      <c r="AA6" s="11" t="s">
        <v>30</v>
      </c>
      <c r="AB6" s="12">
        <v>0</v>
      </c>
      <c r="AC6" s="6"/>
      <c r="AD6" s="6" t="s">
        <v>133</v>
      </c>
      <c r="AE6" s="94">
        <v>0</v>
      </c>
      <c r="AF6" s="6"/>
      <c r="AG6" s="6"/>
      <c r="AL6" s="6"/>
      <c r="AM6" s="6"/>
      <c r="AO6" s="11" t="s">
        <v>133</v>
      </c>
      <c r="AP6" s="12">
        <f>SUMIF(Deduction_and_other_Revenue[PARTNER],$B$2,Deduction_and_other_Revenue[Violation])</f>
        <v>0</v>
      </c>
      <c r="AQ6" s="8"/>
      <c r="AU6" s="6"/>
    </row>
    <row r="7" spans="2:47" ht="15" thickBot="1" x14ac:dyDescent="0.35">
      <c r="B7" s="7" t="s">
        <v>13</v>
      </c>
      <c r="C7" s="69">
        <v>60</v>
      </c>
      <c r="D7" s="4">
        <v>26.38</v>
      </c>
      <c r="E7" s="4">
        <v>26.38</v>
      </c>
      <c r="F7" s="4">
        <v>0</v>
      </c>
      <c r="G7" s="67">
        <v>0.43966666666666698</v>
      </c>
      <c r="H7" s="74">
        <v>0</v>
      </c>
      <c r="I7" s="8">
        <v>0</v>
      </c>
      <c r="J7" s="8">
        <v>0</v>
      </c>
      <c r="K7" s="8">
        <v>0</v>
      </c>
      <c r="L7" s="74">
        <v>0</v>
      </c>
      <c r="M7" s="87">
        <v>1</v>
      </c>
      <c r="N7" s="87">
        <v>0</v>
      </c>
      <c r="O7" s="8">
        <v>0</v>
      </c>
      <c r="P7" s="74">
        <v>0</v>
      </c>
      <c r="Q7" s="87">
        <v>0.94806671721000801</v>
      </c>
      <c r="R7" s="8">
        <v>0</v>
      </c>
      <c r="S7" s="8">
        <v>17.59</v>
      </c>
      <c r="T7" s="8">
        <v>0</v>
      </c>
      <c r="U7" s="8">
        <v>588.72</v>
      </c>
      <c r="V7" s="8">
        <v>606.30999999999995</v>
      </c>
      <c r="W7" s="8"/>
      <c r="X7" s="8"/>
      <c r="Y7" s="15"/>
      <c r="AA7" s="9" t="s">
        <v>106</v>
      </c>
      <c r="AB7" s="10">
        <v>618</v>
      </c>
      <c r="AC7" s="6"/>
      <c r="AD7" s="6" t="s">
        <v>30</v>
      </c>
      <c r="AE7" s="94">
        <v>0</v>
      </c>
      <c r="AF7" s="6"/>
      <c r="AG7" s="6"/>
      <c r="AL7" s="6"/>
      <c r="AM7" s="6"/>
      <c r="AO7" s="9" t="s">
        <v>30</v>
      </c>
      <c r="AP7" s="10">
        <f>SUM(AP3:AP6)</f>
        <v>0</v>
      </c>
      <c r="AQ7" s="8"/>
      <c r="AU7" s="6"/>
    </row>
    <row r="8" spans="2:47" x14ac:dyDescent="0.3">
      <c r="B8" s="25" t="s">
        <v>134</v>
      </c>
      <c r="C8" s="76">
        <v>120</v>
      </c>
      <c r="D8" s="26">
        <v>76.599999999999994</v>
      </c>
      <c r="E8" s="26">
        <v>76.599999999999994</v>
      </c>
      <c r="F8" s="26">
        <v>0</v>
      </c>
      <c r="G8" s="76"/>
      <c r="H8" s="86">
        <v>0</v>
      </c>
      <c r="I8" s="27">
        <v>0</v>
      </c>
      <c r="J8" s="27">
        <v>0</v>
      </c>
      <c r="K8" s="27">
        <v>0</v>
      </c>
      <c r="L8" s="27">
        <v>0</v>
      </c>
      <c r="M8" s="26"/>
      <c r="N8" s="88"/>
      <c r="O8" s="27">
        <v>0</v>
      </c>
      <c r="P8" s="27">
        <v>0</v>
      </c>
      <c r="Q8" s="88"/>
      <c r="R8" s="27">
        <v>0</v>
      </c>
      <c r="S8" s="27">
        <v>45.59</v>
      </c>
      <c r="T8" s="27">
        <v>0</v>
      </c>
      <c r="U8" s="27">
        <v>1806.57</v>
      </c>
      <c r="V8" s="8">
        <v>1852.16</v>
      </c>
      <c r="X8" s="6"/>
      <c r="AA8" s="6"/>
      <c r="AB8" s="6"/>
      <c r="AC8" s="6"/>
      <c r="AD8" s="6"/>
      <c r="AE8" s="6"/>
      <c r="AF8" s="6"/>
      <c r="AG8" s="6"/>
      <c r="AL8" s="6"/>
      <c r="AM8" s="6"/>
      <c r="AO8" s="8"/>
      <c r="AP8" s="3"/>
      <c r="AQ8" s="8"/>
      <c r="AU8" s="6"/>
    </row>
    <row r="9" spans="2:47" ht="22.95" customHeight="1" thickBot="1" x14ac:dyDescent="0.35">
      <c r="F9" s="68"/>
      <c r="G9" s="69"/>
      <c r="V9" s="8"/>
      <c r="W9" s="8"/>
      <c r="X9" s="8"/>
      <c r="AA9" s="6"/>
      <c r="AB9" s="6"/>
      <c r="AC9" s="6"/>
      <c r="AD9" s="6"/>
      <c r="AE9" s="6"/>
      <c r="AF9" s="6"/>
      <c r="AG9" s="6"/>
      <c r="AL9" s="6"/>
      <c r="AM9" s="6"/>
      <c r="AO9" s="8"/>
      <c r="AP9" s="3"/>
      <c r="AQ9" s="8"/>
      <c r="AU9" s="6"/>
    </row>
    <row r="10" spans="2:47" ht="21.6" thickBot="1" x14ac:dyDescent="0.35">
      <c r="B10" s="111" t="s">
        <v>135</v>
      </c>
      <c r="C10" s="112"/>
      <c r="D10" s="112"/>
      <c r="E10" s="112"/>
      <c r="F10" s="112"/>
      <c r="G10" s="112"/>
      <c r="H10" s="112"/>
      <c r="I10" s="112"/>
      <c r="J10" s="112"/>
      <c r="K10" s="112"/>
      <c r="L10" s="113"/>
      <c r="M10" s="6"/>
      <c r="N10" s="6"/>
      <c r="O10" s="6"/>
      <c r="P10" s="6"/>
      <c r="Q10" s="6"/>
      <c r="R10" s="6"/>
      <c r="S10" s="6"/>
      <c r="T10" s="6"/>
      <c r="U10" s="6"/>
      <c r="W10" s="115"/>
      <c r="X10" s="116"/>
      <c r="Y10" s="116"/>
      <c r="Z10" s="116"/>
      <c r="AA10" s="116"/>
      <c r="AB10" s="116"/>
      <c r="AC10" s="116"/>
      <c r="AD10" s="116"/>
      <c r="AE10" s="116"/>
      <c r="AF10" s="116"/>
      <c r="AG10" s="116"/>
      <c r="AH10" s="116"/>
      <c r="AI10" s="117"/>
      <c r="AK10" s="115"/>
      <c r="AL10" s="116"/>
      <c r="AM10" s="116"/>
      <c r="AP10" s="115" t="s">
        <v>137</v>
      </c>
      <c r="AQ10" s="116"/>
      <c r="AR10" s="116"/>
      <c r="AS10" s="116"/>
      <c r="AT10" s="116"/>
      <c r="AU10" s="117"/>
    </row>
    <row r="11" spans="2:47" ht="29.4" thickBot="1" x14ac:dyDescent="0.35">
      <c r="B11" s="78" t="s">
        <v>138</v>
      </c>
      <c r="C11" s="79" t="s">
        <v>139</v>
      </c>
      <c r="D11" s="80" t="s">
        <v>140</v>
      </c>
      <c r="E11" s="80" t="s">
        <v>141</v>
      </c>
      <c r="F11" s="81" t="s">
        <v>125</v>
      </c>
      <c r="G11" s="81" t="s">
        <v>126</v>
      </c>
      <c r="H11" s="82" t="s">
        <v>142</v>
      </c>
      <c r="I11" s="82" t="s">
        <v>143</v>
      </c>
      <c r="J11" s="83" t="s">
        <v>116</v>
      </c>
      <c r="K11" s="84" t="s">
        <v>144</v>
      </c>
      <c r="L11" s="78" t="s">
        <v>145</v>
      </c>
      <c r="M11" s="6" t="s">
        <v>24</v>
      </c>
      <c r="N11" s="6"/>
      <c r="O11" s="6"/>
      <c r="P11" s="6"/>
      <c r="Q11" s="6"/>
      <c r="R11" s="6"/>
      <c r="S11" s="6"/>
      <c r="T11" s="6"/>
      <c r="U11" s="6"/>
      <c r="W11" s="16"/>
      <c r="X11" s="17" t="s">
        <v>16</v>
      </c>
      <c r="Y11" s="18" t="s">
        <v>146</v>
      </c>
      <c r="Z11" s="18" t="s">
        <v>18</v>
      </c>
      <c r="AA11" s="18"/>
      <c r="AB11" s="19"/>
      <c r="AC11" s="19"/>
      <c r="AD11" s="19"/>
      <c r="AE11" s="20"/>
      <c r="AF11" s="65"/>
      <c r="AG11" s="65"/>
      <c r="AH11" s="20"/>
      <c r="AI11" s="20"/>
      <c r="AK11" s="21"/>
      <c r="AL11" s="50" t="s">
        <v>146</v>
      </c>
      <c r="AM11" s="21" t="s">
        <v>18</v>
      </c>
      <c r="AP11" s="85" t="s">
        <v>100</v>
      </c>
      <c r="AQ11" s="21" t="s">
        <v>147</v>
      </c>
      <c r="AR11" s="50" t="s">
        <v>148</v>
      </c>
      <c r="AS11" s="21" t="s">
        <v>101</v>
      </c>
      <c r="AT11" s="21" t="s">
        <v>102</v>
      </c>
      <c r="AU11" s="21" t="s">
        <v>103</v>
      </c>
    </row>
    <row r="12" spans="2:47" x14ac:dyDescent="0.3">
      <c r="B12" s="7">
        <v>45642</v>
      </c>
      <c r="C12" s="6" t="s">
        <v>359</v>
      </c>
      <c r="D12" s="6" t="s">
        <v>360</v>
      </c>
      <c r="E12" s="6">
        <v>116</v>
      </c>
      <c r="F12" s="66">
        <v>1</v>
      </c>
      <c r="G12" s="67">
        <v>8.0000000000000002E-3</v>
      </c>
      <c r="H12" s="5">
        <v>50.23</v>
      </c>
      <c r="I12" s="5">
        <v>0.01</v>
      </c>
      <c r="J12" s="4">
        <v>50.22</v>
      </c>
      <c r="K12" s="4">
        <v>1217.8499999999999</v>
      </c>
      <c r="L12" s="3">
        <v>28</v>
      </c>
      <c r="M12" s="3">
        <v>0</v>
      </c>
      <c r="X12" s="94">
        <v>309</v>
      </c>
      <c r="Y12" s="6">
        <v>2</v>
      </c>
      <c r="Z12" s="94">
        <v>618</v>
      </c>
      <c r="AP12" s="49" t="e" cm="1">
        <f t="array" ref="AP12">_xlfn._xlws.FILTER(#REF!,#REF!=$B$2,"No Data")</f>
        <v>#REF!</v>
      </c>
    </row>
    <row r="13" spans="2:47" x14ac:dyDescent="0.3">
      <c r="B13" s="7">
        <v>45649</v>
      </c>
      <c r="C13" s="6" t="s">
        <v>359</v>
      </c>
      <c r="D13" s="6" t="s">
        <v>360</v>
      </c>
      <c r="E13" s="6">
        <v>70</v>
      </c>
      <c r="F13" s="66">
        <v>1</v>
      </c>
      <c r="G13" s="67">
        <v>0</v>
      </c>
      <c r="H13" s="5">
        <v>26.38</v>
      </c>
      <c r="I13" s="5">
        <v>0</v>
      </c>
      <c r="J13" s="4">
        <v>26.38</v>
      </c>
      <c r="K13" s="4">
        <v>588.719999999999</v>
      </c>
      <c r="L13" s="3">
        <v>17.59</v>
      </c>
      <c r="M13" s="3">
        <v>0</v>
      </c>
    </row>
    <row r="33" spans="5:12" x14ac:dyDescent="0.3">
      <c r="E33" s="90"/>
    </row>
    <row r="39" spans="5:12" x14ac:dyDescent="0.3">
      <c r="L39" s="4"/>
    </row>
  </sheetData>
  <mergeCells count="11">
    <mergeCell ref="AP10:AU10"/>
    <mergeCell ref="B2:F2"/>
    <mergeCell ref="AA2:AB2"/>
    <mergeCell ref="AD2:AE2"/>
    <mergeCell ref="AG2:AH2"/>
    <mergeCell ref="AO2:AP2"/>
    <mergeCell ref="B10:L10"/>
    <mergeCell ref="J4:L4"/>
    <mergeCell ref="M4:P4"/>
    <mergeCell ref="W10:AI10"/>
    <mergeCell ref="AK10:AM1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9AC8-0D29-40BB-AC7C-C11B12F9EE89}">
  <sheetPr codeName="Sheet11"/>
  <dimension ref="A1:E6"/>
  <sheetViews>
    <sheetView workbookViewId="0">
      <selection activeCell="C10" sqref="C10"/>
    </sheetView>
  </sheetViews>
  <sheetFormatPr defaultRowHeight="14.4" x14ac:dyDescent="0.3"/>
  <cols>
    <col min="1" max="1" width="29.6640625" bestFit="1" customWidth="1"/>
    <col min="2" max="2" width="8.109375" bestFit="1" customWidth="1"/>
    <col min="3" max="3" width="31.109375" bestFit="1" customWidth="1"/>
    <col min="4" max="4" width="16.33203125" bestFit="1" customWidth="1"/>
    <col min="5" max="5" width="13.44140625" bestFit="1" customWidth="1"/>
    <col min="6" max="6" width="6.33203125" bestFit="1" customWidth="1"/>
    <col min="7" max="8" width="12" bestFit="1" customWidth="1"/>
    <col min="9" max="9" width="12.6640625" bestFit="1" customWidth="1"/>
    <col min="10" max="10" width="4.109375" bestFit="1" customWidth="1"/>
    <col min="11" max="11" width="4.5546875" bestFit="1" customWidth="1"/>
    <col min="12" max="12" width="5.44140625" bestFit="1" customWidth="1"/>
  </cols>
  <sheetData>
    <row r="1" spans="1:5" x14ac:dyDescent="0.3">
      <c r="A1" t="s">
        <v>166</v>
      </c>
      <c r="B1" t="s">
        <v>264</v>
      </c>
      <c r="C1" t="s">
        <v>265</v>
      </c>
      <c r="D1" t="s">
        <v>266</v>
      </c>
      <c r="E1" t="s">
        <v>29</v>
      </c>
    </row>
    <row r="2" spans="1:5" x14ac:dyDescent="0.3">
      <c r="A2" t="s">
        <v>48</v>
      </c>
      <c r="B2">
        <v>2338</v>
      </c>
      <c r="C2" t="s">
        <v>267</v>
      </c>
      <c r="D2" t="s">
        <v>268</v>
      </c>
      <c r="E2">
        <v>2</v>
      </c>
    </row>
    <row r="3" spans="1:5" x14ac:dyDescent="0.3">
      <c r="A3" t="s">
        <v>65</v>
      </c>
      <c r="B3">
        <v>2302</v>
      </c>
      <c r="C3" t="s">
        <v>269</v>
      </c>
      <c r="D3" t="s">
        <v>268</v>
      </c>
      <c r="E3">
        <v>2</v>
      </c>
    </row>
    <row r="4" spans="1:5" x14ac:dyDescent="0.3">
      <c r="A4" t="s">
        <v>37</v>
      </c>
      <c r="B4">
        <v>2313</v>
      </c>
      <c r="C4" t="s">
        <v>270</v>
      </c>
      <c r="D4" t="s">
        <v>268</v>
      </c>
      <c r="E4">
        <v>2</v>
      </c>
    </row>
    <row r="5" spans="1:5" x14ac:dyDescent="0.3">
      <c r="A5" t="s">
        <v>44</v>
      </c>
      <c r="B5">
        <v>2555</v>
      </c>
      <c r="C5" t="s">
        <v>369</v>
      </c>
      <c r="D5" t="s">
        <v>268</v>
      </c>
      <c r="E5">
        <v>2</v>
      </c>
    </row>
    <row r="6" spans="1:5" x14ac:dyDescent="0.3">
      <c r="A6" t="s">
        <v>34</v>
      </c>
      <c r="B6">
        <v>2298</v>
      </c>
      <c r="C6" t="s">
        <v>271</v>
      </c>
      <c r="D6" t="s">
        <v>272</v>
      </c>
      <c r="E6">
        <v>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44B6-398C-47EC-9F09-E50824DAB3EC}">
  <sheetPr codeName="Sheet4"/>
  <dimension ref="A1:G59"/>
  <sheetViews>
    <sheetView workbookViewId="0"/>
  </sheetViews>
  <sheetFormatPr defaultRowHeight="14.4" x14ac:dyDescent="0.3"/>
  <cols>
    <col min="1" max="1" width="29.6640625" bestFit="1" customWidth="1"/>
    <col min="2" max="2" width="23.109375" bestFit="1" customWidth="1"/>
    <col min="3" max="3" width="16.33203125" bestFit="1" customWidth="1"/>
    <col min="4" max="4" width="15.109375" bestFit="1" customWidth="1"/>
    <col min="5" max="5" width="31.109375" bestFit="1" customWidth="1"/>
    <col min="6" max="6" width="8.109375" bestFit="1" customWidth="1"/>
    <col min="7" max="7" width="20.33203125" bestFit="1" customWidth="1"/>
    <col min="8" max="8" width="7.6640625" bestFit="1" customWidth="1"/>
    <col min="9" max="9" width="12.44140625" bestFit="1" customWidth="1"/>
    <col min="10" max="11" width="18.109375" bestFit="1" customWidth="1"/>
  </cols>
  <sheetData>
    <row r="1" spans="1:7" x14ac:dyDescent="0.3">
      <c r="A1" t="s">
        <v>166</v>
      </c>
      <c r="B1" t="s">
        <v>225</v>
      </c>
      <c r="C1" t="s">
        <v>266</v>
      </c>
      <c r="D1" t="s">
        <v>273</v>
      </c>
      <c r="E1" t="s">
        <v>265</v>
      </c>
      <c r="F1" t="s">
        <v>264</v>
      </c>
      <c r="G1" t="s">
        <v>274</v>
      </c>
    </row>
    <row r="2" spans="1:7" x14ac:dyDescent="0.3">
      <c r="A2" t="s">
        <v>34</v>
      </c>
      <c r="B2" t="s">
        <v>171</v>
      </c>
      <c r="C2" t="s">
        <v>272</v>
      </c>
      <c r="D2" t="s">
        <v>275</v>
      </c>
      <c r="E2" t="s">
        <v>271</v>
      </c>
      <c r="F2">
        <v>2298</v>
      </c>
      <c r="G2" t="s">
        <v>272</v>
      </c>
    </row>
    <row r="3" spans="1:7" x14ac:dyDescent="0.3">
      <c r="A3" t="s">
        <v>34</v>
      </c>
      <c r="B3" t="s">
        <v>228</v>
      </c>
      <c r="C3" t="s">
        <v>272</v>
      </c>
      <c r="D3" t="s">
        <v>275</v>
      </c>
      <c r="E3" t="s">
        <v>271</v>
      </c>
      <c r="F3">
        <v>2298</v>
      </c>
      <c r="G3" t="s">
        <v>272</v>
      </c>
    </row>
    <row r="4" spans="1:7" x14ac:dyDescent="0.3">
      <c r="A4" t="s">
        <v>37</v>
      </c>
      <c r="B4" t="s">
        <v>174</v>
      </c>
      <c r="C4" t="s">
        <v>268</v>
      </c>
      <c r="D4" t="s">
        <v>275</v>
      </c>
      <c r="E4" t="s">
        <v>270</v>
      </c>
      <c r="F4">
        <v>2313</v>
      </c>
      <c r="G4" t="s">
        <v>268</v>
      </c>
    </row>
    <row r="5" spans="1:7" x14ac:dyDescent="0.3">
      <c r="A5" t="s">
        <v>37</v>
      </c>
      <c r="B5" t="s">
        <v>173</v>
      </c>
      <c r="C5" t="s">
        <v>268</v>
      </c>
      <c r="D5" t="s">
        <v>275</v>
      </c>
      <c r="E5" t="s">
        <v>270</v>
      </c>
      <c r="F5">
        <v>2313</v>
      </c>
      <c r="G5" t="s">
        <v>268</v>
      </c>
    </row>
    <row r="6" spans="1:7" x14ac:dyDescent="0.3">
      <c r="A6" t="s">
        <v>37</v>
      </c>
      <c r="B6" t="s">
        <v>177</v>
      </c>
      <c r="C6" t="s">
        <v>268</v>
      </c>
      <c r="D6" t="s">
        <v>275</v>
      </c>
      <c r="E6" t="s">
        <v>270</v>
      </c>
      <c r="F6">
        <v>2313</v>
      </c>
      <c r="G6" t="s">
        <v>268</v>
      </c>
    </row>
    <row r="7" spans="1:7" x14ac:dyDescent="0.3">
      <c r="A7" t="s">
        <v>37</v>
      </c>
      <c r="B7" t="s">
        <v>181</v>
      </c>
      <c r="C7" t="s">
        <v>110</v>
      </c>
      <c r="D7" t="s">
        <v>276</v>
      </c>
      <c r="E7" t="s">
        <v>270</v>
      </c>
      <c r="F7">
        <v>2313</v>
      </c>
      <c r="G7" t="s">
        <v>110</v>
      </c>
    </row>
    <row r="8" spans="1:7" x14ac:dyDescent="0.3">
      <c r="A8" t="s">
        <v>37</v>
      </c>
      <c r="B8" t="s">
        <v>184</v>
      </c>
      <c r="C8" t="s">
        <v>268</v>
      </c>
      <c r="D8" t="s">
        <v>275</v>
      </c>
      <c r="E8" t="s">
        <v>270</v>
      </c>
      <c r="F8">
        <v>2313</v>
      </c>
      <c r="G8" t="s">
        <v>268</v>
      </c>
    </row>
    <row r="9" spans="1:7" x14ac:dyDescent="0.3">
      <c r="A9" t="s">
        <v>37</v>
      </c>
      <c r="B9" t="s">
        <v>229</v>
      </c>
      <c r="C9" t="s">
        <v>272</v>
      </c>
      <c r="D9" t="s">
        <v>275</v>
      </c>
      <c r="E9" t="s">
        <v>270</v>
      </c>
      <c r="F9">
        <v>2313</v>
      </c>
      <c r="G9" t="s">
        <v>272</v>
      </c>
    </row>
    <row r="10" spans="1:7" x14ac:dyDescent="0.3">
      <c r="A10" t="s">
        <v>37</v>
      </c>
      <c r="B10" t="s">
        <v>185</v>
      </c>
      <c r="C10" t="s">
        <v>272</v>
      </c>
      <c r="D10" t="s">
        <v>275</v>
      </c>
      <c r="E10" t="s">
        <v>270</v>
      </c>
      <c r="F10">
        <v>2313</v>
      </c>
      <c r="G10" t="s">
        <v>272</v>
      </c>
    </row>
    <row r="11" spans="1:7" x14ac:dyDescent="0.3">
      <c r="A11" t="s">
        <v>37</v>
      </c>
      <c r="B11" t="s">
        <v>230</v>
      </c>
      <c r="C11" t="s">
        <v>272</v>
      </c>
      <c r="D11" t="s">
        <v>275</v>
      </c>
      <c r="E11" t="s">
        <v>270</v>
      </c>
      <c r="F11">
        <v>2313</v>
      </c>
      <c r="G11" t="s">
        <v>272</v>
      </c>
    </row>
    <row r="12" spans="1:7" x14ac:dyDescent="0.3">
      <c r="A12" t="s">
        <v>37</v>
      </c>
      <c r="B12" t="s">
        <v>231</v>
      </c>
      <c r="C12" t="s">
        <v>272</v>
      </c>
      <c r="D12" t="s">
        <v>275</v>
      </c>
      <c r="E12" t="s">
        <v>270</v>
      </c>
      <c r="F12">
        <v>2313</v>
      </c>
      <c r="G12" t="s">
        <v>272</v>
      </c>
    </row>
    <row r="13" spans="1:7" x14ac:dyDescent="0.3">
      <c r="A13" t="s">
        <v>37</v>
      </c>
      <c r="B13" t="s">
        <v>232</v>
      </c>
      <c r="C13" t="s">
        <v>272</v>
      </c>
      <c r="D13" t="s">
        <v>275</v>
      </c>
      <c r="E13" t="s">
        <v>270</v>
      </c>
      <c r="F13">
        <v>2313</v>
      </c>
      <c r="G13" t="s">
        <v>272</v>
      </c>
    </row>
    <row r="14" spans="1:7" x14ac:dyDescent="0.3">
      <c r="A14" t="s">
        <v>37</v>
      </c>
      <c r="B14" t="s">
        <v>170</v>
      </c>
      <c r="C14" t="s">
        <v>272</v>
      </c>
      <c r="D14" t="s">
        <v>275</v>
      </c>
      <c r="E14" t="s">
        <v>270</v>
      </c>
      <c r="F14">
        <v>2313</v>
      </c>
      <c r="G14" t="s">
        <v>272</v>
      </c>
    </row>
    <row r="15" spans="1:7" x14ac:dyDescent="0.3">
      <c r="A15" t="s">
        <v>37</v>
      </c>
      <c r="B15" t="s">
        <v>233</v>
      </c>
      <c r="C15" t="s">
        <v>110</v>
      </c>
      <c r="D15" t="s">
        <v>277</v>
      </c>
      <c r="E15" t="s">
        <v>270</v>
      </c>
      <c r="F15">
        <v>2313</v>
      </c>
      <c r="G15" t="s">
        <v>110</v>
      </c>
    </row>
    <row r="16" spans="1:7" x14ac:dyDescent="0.3">
      <c r="A16" t="s">
        <v>37</v>
      </c>
      <c r="B16" t="s">
        <v>234</v>
      </c>
      <c r="C16" t="s">
        <v>272</v>
      </c>
      <c r="D16" t="s">
        <v>275</v>
      </c>
      <c r="E16" t="s">
        <v>270</v>
      </c>
      <c r="F16">
        <v>2313</v>
      </c>
      <c r="G16" t="s">
        <v>272</v>
      </c>
    </row>
    <row r="17" spans="1:7" x14ac:dyDescent="0.3">
      <c r="A17" t="s">
        <v>37</v>
      </c>
      <c r="B17" t="s">
        <v>235</v>
      </c>
      <c r="C17" t="s">
        <v>268</v>
      </c>
      <c r="D17" t="s">
        <v>275</v>
      </c>
      <c r="E17" t="s">
        <v>270</v>
      </c>
      <c r="F17">
        <v>2313</v>
      </c>
      <c r="G17" t="s">
        <v>268</v>
      </c>
    </row>
    <row r="18" spans="1:7" x14ac:dyDescent="0.3">
      <c r="A18" t="s">
        <v>37</v>
      </c>
      <c r="B18" t="s">
        <v>236</v>
      </c>
      <c r="C18" t="s">
        <v>268</v>
      </c>
      <c r="D18" t="s">
        <v>275</v>
      </c>
      <c r="E18" t="s">
        <v>270</v>
      </c>
      <c r="F18">
        <v>2313</v>
      </c>
      <c r="G18" t="s">
        <v>268</v>
      </c>
    </row>
    <row r="19" spans="1:7" x14ac:dyDescent="0.3">
      <c r="A19" t="s">
        <v>48</v>
      </c>
      <c r="B19" t="s">
        <v>237</v>
      </c>
      <c r="C19" t="s">
        <v>110</v>
      </c>
      <c r="D19" t="s">
        <v>277</v>
      </c>
      <c r="E19" t="s">
        <v>267</v>
      </c>
      <c r="F19">
        <v>2338</v>
      </c>
      <c r="G19" t="s">
        <v>110</v>
      </c>
    </row>
    <row r="20" spans="1:7" x14ac:dyDescent="0.3">
      <c r="A20" t="s">
        <v>48</v>
      </c>
      <c r="B20" t="s">
        <v>238</v>
      </c>
      <c r="C20" t="s">
        <v>272</v>
      </c>
      <c r="D20" t="s">
        <v>275</v>
      </c>
      <c r="E20" t="s">
        <v>267</v>
      </c>
      <c r="F20">
        <v>2338</v>
      </c>
      <c r="G20" t="s">
        <v>272</v>
      </c>
    </row>
    <row r="21" spans="1:7" x14ac:dyDescent="0.3">
      <c r="A21" t="s">
        <v>48</v>
      </c>
      <c r="B21" t="s">
        <v>239</v>
      </c>
      <c r="C21" t="s">
        <v>272</v>
      </c>
      <c r="D21" t="s">
        <v>275</v>
      </c>
      <c r="E21" t="s">
        <v>267</v>
      </c>
      <c r="F21">
        <v>2338</v>
      </c>
      <c r="G21" t="s">
        <v>272</v>
      </c>
    </row>
    <row r="22" spans="1:7" x14ac:dyDescent="0.3">
      <c r="A22" t="s">
        <v>48</v>
      </c>
      <c r="B22" t="s">
        <v>240</v>
      </c>
      <c r="C22" t="s">
        <v>268</v>
      </c>
      <c r="D22" t="s">
        <v>275</v>
      </c>
      <c r="E22" t="s">
        <v>267</v>
      </c>
      <c r="F22">
        <v>2338</v>
      </c>
      <c r="G22" t="s">
        <v>268</v>
      </c>
    </row>
    <row r="23" spans="1:7" x14ac:dyDescent="0.3">
      <c r="A23" t="s">
        <v>48</v>
      </c>
      <c r="B23" t="s">
        <v>186</v>
      </c>
      <c r="C23" t="s">
        <v>272</v>
      </c>
      <c r="D23" t="s">
        <v>275</v>
      </c>
      <c r="E23" t="s">
        <v>267</v>
      </c>
      <c r="F23">
        <v>2338</v>
      </c>
      <c r="G23" t="s">
        <v>272</v>
      </c>
    </row>
    <row r="24" spans="1:7" x14ac:dyDescent="0.3">
      <c r="A24" t="s">
        <v>48</v>
      </c>
      <c r="B24" t="s">
        <v>241</v>
      </c>
      <c r="C24" t="s">
        <v>110</v>
      </c>
      <c r="D24" t="s">
        <v>277</v>
      </c>
      <c r="E24" t="s">
        <v>267</v>
      </c>
      <c r="F24">
        <v>2338</v>
      </c>
      <c r="G24" t="s">
        <v>110</v>
      </c>
    </row>
    <row r="25" spans="1:7" x14ac:dyDescent="0.3">
      <c r="A25" t="s">
        <v>48</v>
      </c>
      <c r="B25" t="s">
        <v>180</v>
      </c>
      <c r="C25" t="s">
        <v>272</v>
      </c>
      <c r="D25" t="s">
        <v>275</v>
      </c>
      <c r="E25" t="s">
        <v>267</v>
      </c>
      <c r="F25">
        <v>2338</v>
      </c>
      <c r="G25" t="s">
        <v>272</v>
      </c>
    </row>
    <row r="26" spans="1:7" x14ac:dyDescent="0.3">
      <c r="A26" t="s">
        <v>48</v>
      </c>
      <c r="B26" t="s">
        <v>169</v>
      </c>
      <c r="C26" t="s">
        <v>272</v>
      </c>
      <c r="D26" t="s">
        <v>275</v>
      </c>
      <c r="E26" t="s">
        <v>267</v>
      </c>
      <c r="F26">
        <v>2338</v>
      </c>
      <c r="G26" t="s">
        <v>272</v>
      </c>
    </row>
    <row r="27" spans="1:7" x14ac:dyDescent="0.3">
      <c r="A27" t="s">
        <v>48</v>
      </c>
      <c r="B27" t="s">
        <v>242</v>
      </c>
      <c r="C27" t="s">
        <v>110</v>
      </c>
      <c r="D27" t="s">
        <v>277</v>
      </c>
      <c r="E27" t="s">
        <v>267</v>
      </c>
      <c r="F27">
        <v>2338</v>
      </c>
      <c r="G27" t="s">
        <v>110</v>
      </c>
    </row>
    <row r="28" spans="1:7" x14ac:dyDescent="0.3">
      <c r="A28" t="s">
        <v>48</v>
      </c>
      <c r="B28" t="s">
        <v>175</v>
      </c>
      <c r="C28" t="s">
        <v>268</v>
      </c>
      <c r="D28" t="s">
        <v>275</v>
      </c>
      <c r="E28" t="s">
        <v>267</v>
      </c>
      <c r="F28">
        <v>2338</v>
      </c>
      <c r="G28" t="s">
        <v>268</v>
      </c>
    </row>
    <row r="29" spans="1:7" x14ac:dyDescent="0.3">
      <c r="A29" t="s">
        <v>48</v>
      </c>
      <c r="B29" t="s">
        <v>178</v>
      </c>
      <c r="C29" t="s">
        <v>268</v>
      </c>
      <c r="D29" t="s">
        <v>276</v>
      </c>
      <c r="E29" t="s">
        <v>267</v>
      </c>
      <c r="F29">
        <v>2338</v>
      </c>
      <c r="G29" t="s">
        <v>268</v>
      </c>
    </row>
    <row r="30" spans="1:7" x14ac:dyDescent="0.3">
      <c r="A30" t="s">
        <v>48</v>
      </c>
      <c r="B30" t="s">
        <v>172</v>
      </c>
      <c r="C30" t="s">
        <v>268</v>
      </c>
      <c r="D30" t="s">
        <v>275</v>
      </c>
      <c r="E30" t="s">
        <v>267</v>
      </c>
      <c r="F30">
        <v>2338</v>
      </c>
      <c r="G30" t="s">
        <v>268</v>
      </c>
    </row>
    <row r="31" spans="1:7" x14ac:dyDescent="0.3">
      <c r="A31" t="s">
        <v>48</v>
      </c>
      <c r="B31" t="s">
        <v>243</v>
      </c>
      <c r="C31" t="s">
        <v>110</v>
      </c>
      <c r="D31" t="s">
        <v>276</v>
      </c>
      <c r="E31" t="s">
        <v>267</v>
      </c>
      <c r="F31">
        <v>2338</v>
      </c>
      <c r="G31" t="s">
        <v>110</v>
      </c>
    </row>
    <row r="32" spans="1:7" x14ac:dyDescent="0.3">
      <c r="A32" t="s">
        <v>48</v>
      </c>
      <c r="B32" t="s">
        <v>244</v>
      </c>
      <c r="C32" t="s">
        <v>272</v>
      </c>
      <c r="D32" t="s">
        <v>275</v>
      </c>
      <c r="E32" t="s">
        <v>267</v>
      </c>
      <c r="F32">
        <v>2338</v>
      </c>
      <c r="G32" t="s">
        <v>272</v>
      </c>
    </row>
    <row r="33" spans="1:7" x14ac:dyDescent="0.3">
      <c r="A33" t="s">
        <v>48</v>
      </c>
      <c r="B33" t="s">
        <v>245</v>
      </c>
      <c r="C33" t="s">
        <v>272</v>
      </c>
      <c r="D33" t="s">
        <v>275</v>
      </c>
      <c r="E33" t="s">
        <v>267</v>
      </c>
      <c r="F33">
        <v>2338</v>
      </c>
      <c r="G33" t="s">
        <v>272</v>
      </c>
    </row>
    <row r="34" spans="1:7" x14ac:dyDescent="0.3">
      <c r="A34" t="s">
        <v>48</v>
      </c>
      <c r="B34" t="s">
        <v>246</v>
      </c>
      <c r="C34" t="s">
        <v>110</v>
      </c>
      <c r="D34" t="s">
        <v>276</v>
      </c>
      <c r="E34" t="s">
        <v>267</v>
      </c>
      <c r="F34">
        <v>2338</v>
      </c>
      <c r="G34" t="s">
        <v>110</v>
      </c>
    </row>
    <row r="35" spans="1:7" x14ac:dyDescent="0.3">
      <c r="A35" t="s">
        <v>48</v>
      </c>
      <c r="B35" t="s">
        <v>247</v>
      </c>
      <c r="C35" t="s">
        <v>110</v>
      </c>
      <c r="D35" t="s">
        <v>276</v>
      </c>
      <c r="E35" t="s">
        <v>267</v>
      </c>
      <c r="F35">
        <v>2338</v>
      </c>
      <c r="G35" t="s">
        <v>110</v>
      </c>
    </row>
    <row r="36" spans="1:7" x14ac:dyDescent="0.3">
      <c r="A36" t="s">
        <v>48</v>
      </c>
      <c r="B36" t="s">
        <v>248</v>
      </c>
      <c r="C36" t="s">
        <v>110</v>
      </c>
      <c r="D36" t="s">
        <v>277</v>
      </c>
      <c r="E36" t="s">
        <v>267</v>
      </c>
      <c r="F36">
        <v>2338</v>
      </c>
      <c r="G36" t="s">
        <v>110</v>
      </c>
    </row>
    <row r="37" spans="1:7" x14ac:dyDescent="0.3">
      <c r="A37" t="s">
        <v>48</v>
      </c>
      <c r="B37" t="s">
        <v>249</v>
      </c>
      <c r="C37" t="s">
        <v>110</v>
      </c>
      <c r="D37" t="s">
        <v>277</v>
      </c>
      <c r="E37" t="s">
        <v>267</v>
      </c>
      <c r="F37">
        <v>2338</v>
      </c>
      <c r="G37" t="s">
        <v>110</v>
      </c>
    </row>
    <row r="38" spans="1:7" x14ac:dyDescent="0.3">
      <c r="A38" t="s">
        <v>48</v>
      </c>
      <c r="B38" t="s">
        <v>250</v>
      </c>
      <c r="C38" t="s">
        <v>110</v>
      </c>
      <c r="D38" t="s">
        <v>277</v>
      </c>
      <c r="E38" t="s">
        <v>267</v>
      </c>
      <c r="F38">
        <v>2338</v>
      </c>
      <c r="G38" t="s">
        <v>110</v>
      </c>
    </row>
    <row r="39" spans="1:7" x14ac:dyDescent="0.3">
      <c r="A39" t="s">
        <v>48</v>
      </c>
      <c r="B39" t="s">
        <v>251</v>
      </c>
      <c r="C39" t="s">
        <v>268</v>
      </c>
      <c r="D39" t="s">
        <v>275</v>
      </c>
      <c r="E39" t="s">
        <v>267</v>
      </c>
      <c r="F39">
        <v>2338</v>
      </c>
      <c r="G39" t="s">
        <v>268</v>
      </c>
    </row>
    <row r="40" spans="1:7" x14ac:dyDescent="0.3">
      <c r="A40" t="s">
        <v>48</v>
      </c>
      <c r="B40" t="s">
        <v>252</v>
      </c>
      <c r="C40" t="s">
        <v>268</v>
      </c>
      <c r="D40" t="s">
        <v>275</v>
      </c>
      <c r="E40" t="s">
        <v>267</v>
      </c>
      <c r="F40">
        <v>2338</v>
      </c>
      <c r="G40" t="s">
        <v>268</v>
      </c>
    </row>
    <row r="41" spans="1:7" x14ac:dyDescent="0.3">
      <c r="A41" t="s">
        <v>37</v>
      </c>
      <c r="B41" t="s">
        <v>168</v>
      </c>
      <c r="C41" t="s">
        <v>272</v>
      </c>
      <c r="D41" t="s">
        <v>276</v>
      </c>
      <c r="E41" t="s">
        <v>270</v>
      </c>
      <c r="F41">
        <v>2313</v>
      </c>
      <c r="G41" t="s">
        <v>272</v>
      </c>
    </row>
    <row r="42" spans="1:7" x14ac:dyDescent="0.3">
      <c r="A42" t="s">
        <v>65</v>
      </c>
      <c r="B42" t="s">
        <v>176</v>
      </c>
      <c r="C42" t="s">
        <v>268</v>
      </c>
      <c r="D42" t="s">
        <v>275</v>
      </c>
      <c r="E42" t="s">
        <v>269</v>
      </c>
      <c r="F42">
        <v>2302</v>
      </c>
      <c r="G42" t="s">
        <v>268</v>
      </c>
    </row>
    <row r="43" spans="1:7" x14ac:dyDescent="0.3">
      <c r="A43" t="s">
        <v>65</v>
      </c>
      <c r="B43" t="s">
        <v>253</v>
      </c>
      <c r="C43" t="s">
        <v>268</v>
      </c>
      <c r="D43" t="s">
        <v>275</v>
      </c>
      <c r="E43" t="s">
        <v>269</v>
      </c>
      <c r="F43">
        <v>2302</v>
      </c>
      <c r="G43" t="s">
        <v>268</v>
      </c>
    </row>
    <row r="44" spans="1:7" x14ac:dyDescent="0.3">
      <c r="A44" t="s">
        <v>65</v>
      </c>
      <c r="B44" t="s">
        <v>254</v>
      </c>
      <c r="C44" t="s">
        <v>268</v>
      </c>
      <c r="D44" t="s">
        <v>275</v>
      </c>
      <c r="E44" t="s">
        <v>269</v>
      </c>
      <c r="F44">
        <v>2302</v>
      </c>
      <c r="G44" t="s">
        <v>268</v>
      </c>
    </row>
    <row r="45" spans="1:7" x14ac:dyDescent="0.3">
      <c r="A45" t="s">
        <v>65</v>
      </c>
      <c r="B45" t="s">
        <v>255</v>
      </c>
      <c r="C45" t="s">
        <v>268</v>
      </c>
      <c r="D45" t="s">
        <v>276</v>
      </c>
      <c r="E45" t="s">
        <v>269</v>
      </c>
      <c r="F45">
        <v>2302</v>
      </c>
      <c r="G45" t="s">
        <v>268</v>
      </c>
    </row>
    <row r="46" spans="1:7" x14ac:dyDescent="0.3">
      <c r="A46" t="s">
        <v>65</v>
      </c>
      <c r="B46" t="s">
        <v>256</v>
      </c>
      <c r="C46" t="s">
        <v>272</v>
      </c>
      <c r="D46" t="s">
        <v>275</v>
      </c>
      <c r="E46" t="s">
        <v>269</v>
      </c>
      <c r="F46">
        <v>2302</v>
      </c>
      <c r="G46" t="s">
        <v>272</v>
      </c>
    </row>
    <row r="47" spans="1:7" x14ac:dyDescent="0.3">
      <c r="A47" t="s">
        <v>65</v>
      </c>
      <c r="B47" t="s">
        <v>183</v>
      </c>
      <c r="C47" t="s">
        <v>272</v>
      </c>
      <c r="D47" t="s">
        <v>275</v>
      </c>
      <c r="E47" t="s">
        <v>269</v>
      </c>
      <c r="F47">
        <v>2302</v>
      </c>
      <c r="G47" t="s">
        <v>272</v>
      </c>
    </row>
    <row r="48" spans="1:7" x14ac:dyDescent="0.3">
      <c r="A48" t="s">
        <v>65</v>
      </c>
      <c r="B48" t="s">
        <v>257</v>
      </c>
      <c r="C48" t="s">
        <v>272</v>
      </c>
      <c r="D48" t="s">
        <v>275</v>
      </c>
      <c r="E48" t="s">
        <v>269</v>
      </c>
      <c r="F48">
        <v>2302</v>
      </c>
      <c r="G48" t="s">
        <v>272</v>
      </c>
    </row>
    <row r="49" spans="1:7" x14ac:dyDescent="0.3">
      <c r="A49" t="s">
        <v>65</v>
      </c>
      <c r="B49" t="s">
        <v>258</v>
      </c>
      <c r="C49" t="s">
        <v>272</v>
      </c>
      <c r="D49" t="s">
        <v>275</v>
      </c>
      <c r="E49" t="s">
        <v>269</v>
      </c>
      <c r="F49">
        <v>2302</v>
      </c>
      <c r="G49" t="s">
        <v>272</v>
      </c>
    </row>
    <row r="50" spans="1:7" x14ac:dyDescent="0.3">
      <c r="A50" t="s">
        <v>65</v>
      </c>
      <c r="B50" t="s">
        <v>259</v>
      </c>
      <c r="C50" t="s">
        <v>110</v>
      </c>
      <c r="D50" t="s">
        <v>277</v>
      </c>
      <c r="E50" t="s">
        <v>269</v>
      </c>
      <c r="F50">
        <v>2302</v>
      </c>
      <c r="G50" t="s">
        <v>110</v>
      </c>
    </row>
    <row r="51" spans="1:7" x14ac:dyDescent="0.3">
      <c r="A51" t="s">
        <v>34</v>
      </c>
      <c r="B51" t="s">
        <v>260</v>
      </c>
      <c r="C51" t="s">
        <v>272</v>
      </c>
      <c r="D51" t="s">
        <v>275</v>
      </c>
      <c r="E51" t="s">
        <v>271</v>
      </c>
      <c r="F51">
        <v>2298</v>
      </c>
      <c r="G51" t="s">
        <v>272</v>
      </c>
    </row>
    <row r="52" spans="1:7" x14ac:dyDescent="0.3">
      <c r="A52" t="s">
        <v>44</v>
      </c>
      <c r="B52" t="s">
        <v>261</v>
      </c>
      <c r="C52" t="s">
        <v>268</v>
      </c>
      <c r="D52" t="s">
        <v>277</v>
      </c>
      <c r="E52" t="s">
        <v>369</v>
      </c>
      <c r="F52">
        <v>2555</v>
      </c>
      <c r="G52" t="s">
        <v>268</v>
      </c>
    </row>
    <row r="53" spans="1:7" x14ac:dyDescent="0.3">
      <c r="A53" t="s">
        <v>37</v>
      </c>
      <c r="B53" t="s">
        <v>262</v>
      </c>
      <c r="C53" t="s">
        <v>110</v>
      </c>
      <c r="D53" t="s">
        <v>277</v>
      </c>
      <c r="E53" t="s">
        <v>270</v>
      </c>
      <c r="F53">
        <v>2313</v>
      </c>
      <c r="G53" t="s">
        <v>110</v>
      </c>
    </row>
    <row r="54" spans="1:7" x14ac:dyDescent="0.3">
      <c r="A54" t="s">
        <v>37</v>
      </c>
      <c r="B54" t="s">
        <v>263</v>
      </c>
      <c r="C54" t="s">
        <v>110</v>
      </c>
      <c r="D54" t="s">
        <v>277</v>
      </c>
      <c r="E54" t="s">
        <v>270</v>
      </c>
      <c r="F54">
        <v>2313</v>
      </c>
      <c r="G54" t="s">
        <v>110</v>
      </c>
    </row>
    <row r="55" spans="1:7" x14ac:dyDescent="0.3">
      <c r="A55" t="s">
        <v>44</v>
      </c>
      <c r="B55" t="s">
        <v>187</v>
      </c>
      <c r="C55" t="s">
        <v>110</v>
      </c>
      <c r="D55" t="s">
        <v>277</v>
      </c>
      <c r="E55" t="s">
        <v>369</v>
      </c>
      <c r="F55">
        <v>2555</v>
      </c>
      <c r="G55" t="s">
        <v>110</v>
      </c>
    </row>
    <row r="56" spans="1:7" x14ac:dyDescent="0.3">
      <c r="A56" t="s">
        <v>48</v>
      </c>
      <c r="B56" t="s">
        <v>167</v>
      </c>
      <c r="C56" t="s">
        <v>272</v>
      </c>
      <c r="D56" t="s">
        <v>275</v>
      </c>
      <c r="E56" t="s">
        <v>267</v>
      </c>
      <c r="F56">
        <v>2338</v>
      </c>
      <c r="G56" t="s">
        <v>272</v>
      </c>
    </row>
    <row r="57" spans="1:7" x14ac:dyDescent="0.3">
      <c r="A57" t="s">
        <v>44</v>
      </c>
      <c r="B57" t="s">
        <v>179</v>
      </c>
      <c r="C57" t="s">
        <v>268</v>
      </c>
      <c r="D57" t="s">
        <v>277</v>
      </c>
      <c r="E57" t="s">
        <v>369</v>
      </c>
      <c r="F57">
        <v>2555</v>
      </c>
      <c r="G57" t="s">
        <v>268</v>
      </c>
    </row>
    <row r="58" spans="1:7" x14ac:dyDescent="0.3">
      <c r="A58" t="s">
        <v>37</v>
      </c>
      <c r="B58" t="s">
        <v>182</v>
      </c>
      <c r="C58" t="s">
        <v>272</v>
      </c>
      <c r="D58" t="s">
        <v>276</v>
      </c>
      <c r="E58" t="s">
        <v>270</v>
      </c>
      <c r="F58">
        <v>2313</v>
      </c>
      <c r="G58" t="s">
        <v>272</v>
      </c>
    </row>
    <row r="59" spans="1:7" x14ac:dyDescent="0.3">
      <c r="A59" t="s">
        <v>65</v>
      </c>
      <c r="B59" t="s">
        <v>323</v>
      </c>
      <c r="C59" t="s">
        <v>272</v>
      </c>
      <c r="D59" t="s">
        <v>275</v>
      </c>
      <c r="E59" t="s">
        <v>269</v>
      </c>
      <c r="F59">
        <v>2302</v>
      </c>
      <c r="G59" t="s">
        <v>272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D2540-96D5-4DAC-8BEC-54EC950951CB}">
  <sheetPr codeName="Sheet16"/>
  <dimension ref="A1:G2"/>
  <sheetViews>
    <sheetView workbookViewId="0">
      <selection activeCell="K15" sqref="K15"/>
    </sheetView>
  </sheetViews>
  <sheetFormatPr defaultRowHeight="14.4" x14ac:dyDescent="0.3"/>
  <cols>
    <col min="1" max="1" width="11.5546875" bestFit="1" customWidth="1"/>
    <col min="2" max="2" width="10.6640625" bestFit="1" customWidth="1"/>
    <col min="3" max="3" width="14.44140625" bestFit="1" customWidth="1"/>
    <col min="4" max="4" width="7.44140625" bestFit="1" customWidth="1"/>
    <col min="5" max="5" width="9.5546875" bestFit="1" customWidth="1"/>
    <col min="6" max="6" width="17.5546875" bestFit="1" customWidth="1"/>
    <col min="7" max="7" width="19" bestFit="1" customWidth="1"/>
  </cols>
  <sheetData>
    <row r="1" spans="1:7" x14ac:dyDescent="0.3">
      <c r="A1" t="s">
        <v>278</v>
      </c>
      <c r="B1" t="s">
        <v>279</v>
      </c>
      <c r="C1" t="s">
        <v>280</v>
      </c>
      <c r="D1" t="s">
        <v>24</v>
      </c>
      <c r="E1" t="s">
        <v>4</v>
      </c>
      <c r="F1" t="s">
        <v>166</v>
      </c>
      <c r="G1" t="s">
        <v>225</v>
      </c>
    </row>
    <row r="2" spans="1:7" x14ac:dyDescent="0.3">
      <c r="A2" s="2"/>
      <c r="B2" s="2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51DCE-9BEA-426E-AA5D-A59B883F260F}">
  <sheetPr codeName="Sheet17"/>
  <dimension ref="A1:G2"/>
  <sheetViews>
    <sheetView workbookViewId="0">
      <selection sqref="A1:G8"/>
    </sheetView>
  </sheetViews>
  <sheetFormatPr defaultRowHeight="14.4" x14ac:dyDescent="0.3"/>
  <cols>
    <col min="1" max="1" width="11.5546875" bestFit="1" customWidth="1"/>
    <col min="2" max="2" width="10.6640625" bestFit="1" customWidth="1"/>
    <col min="3" max="3" width="14.44140625" bestFit="1" customWidth="1"/>
    <col min="4" max="4" width="7.44140625" bestFit="1" customWidth="1"/>
    <col min="5" max="5" width="9.5546875" bestFit="1" customWidth="1"/>
    <col min="6" max="6" width="17.5546875" bestFit="1" customWidth="1"/>
    <col min="7" max="7" width="19" bestFit="1" customWidth="1"/>
  </cols>
  <sheetData>
    <row r="1" spans="1:7" x14ac:dyDescent="0.3">
      <c r="A1" t="s">
        <v>278</v>
      </c>
      <c r="B1" t="s">
        <v>279</v>
      </c>
      <c r="C1" t="s">
        <v>280</v>
      </c>
      <c r="D1" t="s">
        <v>24</v>
      </c>
      <c r="E1" t="s">
        <v>4</v>
      </c>
      <c r="F1" t="s">
        <v>166</v>
      </c>
      <c r="G1" t="s">
        <v>225</v>
      </c>
    </row>
    <row r="2" spans="1:7" x14ac:dyDescent="0.3">
      <c r="A2" s="2"/>
      <c r="B2" s="2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F2ABA-D269-48D5-BDC7-F102D11B07F2}">
  <sheetPr codeName="Sheet5"/>
  <dimension ref="A2:E19"/>
  <sheetViews>
    <sheetView showGridLines="0" workbookViewId="0">
      <selection activeCell="C24" sqref="C24"/>
    </sheetView>
  </sheetViews>
  <sheetFormatPr defaultRowHeight="14.4" x14ac:dyDescent="0.3"/>
  <cols>
    <col min="1" max="1" width="16.88671875" customWidth="1"/>
    <col min="2" max="2" width="20.6640625" customWidth="1"/>
    <col min="3" max="3" width="20.33203125" customWidth="1"/>
    <col min="4" max="4" width="10.6640625" customWidth="1"/>
  </cols>
  <sheetData>
    <row r="2" spans="1:5" x14ac:dyDescent="0.3">
      <c r="A2" s="1" t="s">
        <v>281</v>
      </c>
      <c r="B2" s="1" t="s">
        <v>282</v>
      </c>
    </row>
    <row r="3" spans="1:5" x14ac:dyDescent="0.3">
      <c r="A3" s="1" t="s">
        <v>283</v>
      </c>
      <c r="B3" t="str" cm="1">
        <f t="array" aca="1" ref="B3" ca="1">LEFT(CELL("filename",A1),FIND("[",CELL("filename",A1))-1)</f>
        <v>https://thebottomline491.sharepoint.com/sites/BookkeepersPortal/Shared Documents/Team Folder/BIG STAR/VDP/2025/1-Jan/01.17.25/</v>
      </c>
    </row>
    <row r="4" spans="1:5" x14ac:dyDescent="0.3">
      <c r="A4" s="1" t="s">
        <v>284</v>
      </c>
      <c r="B4" t="str" cm="1">
        <f t="array" aca="1" ref="B4" ca="1">LEFT(CELL("filename",A1),FIND("VDP",CELL("filename",A1))-1)</f>
        <v>https://thebottomline491.sharepoint.com/sites/BookkeepersPortal/Shared Documents/Team Folder/BIG STAR/</v>
      </c>
    </row>
    <row r="9" spans="1:5" x14ac:dyDescent="0.3">
      <c r="A9" s="1" t="s">
        <v>281</v>
      </c>
      <c r="B9" s="1" t="s">
        <v>285</v>
      </c>
      <c r="C9" s="1" t="s">
        <v>286</v>
      </c>
      <c r="D9" s="1" t="s">
        <v>287</v>
      </c>
      <c r="E9" s="1" t="s">
        <v>288</v>
      </c>
    </row>
    <row r="10" spans="1:5" x14ac:dyDescent="0.3">
      <c r="A10" t="s">
        <v>289</v>
      </c>
      <c r="B10" t="s">
        <v>308</v>
      </c>
      <c r="D10" t="s">
        <v>290</v>
      </c>
      <c r="E10" t="str">
        <f ca="1">CONCATENATE($B$3,A10,B10)</f>
        <v>https://thebottomline491.sharepoint.com/sites/BookkeepersPortal/Shared Documents/Team Folder/BIG STAR/VDP/2025/1-Jan/01.17.25/RAW DATA\UBER REPORT\</v>
      </c>
    </row>
    <row r="11" spans="1:5" x14ac:dyDescent="0.3">
      <c r="A11" t="s">
        <v>289</v>
      </c>
      <c r="B11" t="s">
        <v>291</v>
      </c>
      <c r="D11" t="s">
        <v>292</v>
      </c>
      <c r="E11" t="str">
        <f ca="1">CONCATENATE($B$3,A11,B11)</f>
        <v>https://thebottomline491.sharepoint.com/sites/BookkeepersPortal/Shared Documents/Team Folder/BIG STAR/VDP/2025/1-Jan/01.17.25/RAW DATA\FIRST REPORT\</v>
      </c>
    </row>
    <row r="12" spans="1:5" x14ac:dyDescent="0.3">
      <c r="C12" t="s">
        <v>293</v>
      </c>
      <c r="D12" t="s">
        <v>294</v>
      </c>
      <c r="E12" t="str">
        <f ca="1">CONCATENATE($B$3,A12,B12,C12)</f>
        <v>https://thebottomline491.sharepoint.com/sites/BookkeepersPortal/Shared Documents/Team Folder/BIG STAR/VDP/2025/1-Jan/01.17.25/Operator Deductions-Other Earnings.xlsx</v>
      </c>
    </row>
    <row r="13" spans="1:5" x14ac:dyDescent="0.3">
      <c r="C13" t="s">
        <v>295</v>
      </c>
      <c r="D13" t="s">
        <v>296</v>
      </c>
      <c r="E13" t="str">
        <f ca="1">CONCATENATE($B$4,B13,A13,C13)</f>
        <v>https://thebottomline491.sharepoint.com/sites/BookkeepersPortal/Shared Documents/Team Folder/BIG STAR/DIV 2 Partner List.xlsx</v>
      </c>
    </row>
    <row r="14" spans="1:5" x14ac:dyDescent="0.3">
      <c r="C14" t="s">
        <v>297</v>
      </c>
      <c r="D14" t="s">
        <v>298</v>
      </c>
      <c r="E14" t="str">
        <f ca="1">CONCATENATE($B$4,B14,A14,C14)</f>
        <v>https://thebottomline491.sharepoint.com/sites/BookkeepersPortal/Shared Documents/Team Folder/BIG STAR/DIV 2 Partner Rates.xlsx</v>
      </c>
    </row>
    <row r="15" spans="1:5" x14ac:dyDescent="0.3">
      <c r="C15" t="s">
        <v>299</v>
      </c>
      <c r="D15" t="s">
        <v>300</v>
      </c>
      <c r="E15" t="str">
        <f ca="1">CONCATENATE($B$4,B15,A15,C15)</f>
        <v>https://thebottomline491.sharepoint.com/sites/BookkeepersPortal/Shared Documents/Team Folder/BIG STAR/DIV 2 Partner Change.xlsx</v>
      </c>
    </row>
    <row r="16" spans="1:5" x14ac:dyDescent="0.3">
      <c r="C16" t="s">
        <v>301</v>
      </c>
      <c r="D16" t="s">
        <v>302</v>
      </c>
      <c r="E16" t="str">
        <f ca="1">CONCATENATE($B$3,B16,A16,C16)</f>
        <v>https://thebottomline491.sharepoint.com/sites/BookkeepersPortal/Shared Documents/Team Folder/BIG STAR/VDP/2025/1-Jan/01.17.25/MPG per vehicle.xlsx</v>
      </c>
    </row>
    <row r="17" spans="1:5" x14ac:dyDescent="0.3">
      <c r="C17" t="s">
        <v>303</v>
      </c>
      <c r="D17" t="s">
        <v>304</v>
      </c>
      <c r="E17" t="str">
        <f ca="1">CONCATENATE($B$3,B17,A17,C17)</f>
        <v>https://thebottomline491.sharepoint.com/sites/BookkeepersPortal/Shared Documents/Team Folder/BIG STAR/VDP/2025/1-Jan/01.17.25/AAA Fuel Record.xlsx</v>
      </c>
    </row>
    <row r="18" spans="1:5" x14ac:dyDescent="0.3">
      <c r="A18" t="s">
        <v>289</v>
      </c>
      <c r="B18" t="s">
        <v>305</v>
      </c>
      <c r="D18" t="s">
        <v>306</v>
      </c>
      <c r="E18" t="str">
        <f ca="1">CONCATENATE($B$3,A18,B18)</f>
        <v>https://thebottomline491.sharepoint.com/sites/BookkeepersPortal/Shared Documents/Team Folder/BIG STAR/VDP/2025/1-Jan/01.17.25/RAW DATA\Miles\</v>
      </c>
    </row>
    <row r="19" spans="1:5" x14ac:dyDescent="0.3">
      <c r="A19" t="s">
        <v>289</v>
      </c>
      <c r="B19" t="s">
        <v>24</v>
      </c>
      <c r="D19" t="s">
        <v>307</v>
      </c>
      <c r="E19" t="str">
        <f ca="1">CONCATENATE($B$3,A19,B19)</f>
        <v>https://thebottomline491.sharepoint.com/sites/BookkeepersPortal/Shared Documents/Team Folder/BIG STAR/VDP/2025/1-Jan/01.17.25/RAW DATA\Tolls</v>
      </c>
    </row>
  </sheetData>
  <phoneticPr fontId="5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A9028-860D-4AE2-A6DE-829BE73E168D}">
  <sheetPr codeName="Sheet12"/>
  <dimension ref="A1:A5"/>
  <sheetViews>
    <sheetView workbookViewId="0"/>
  </sheetViews>
  <sheetFormatPr defaultRowHeight="14.4" x14ac:dyDescent="0.3"/>
  <cols>
    <col min="1" max="1" width="42.33203125" bestFit="1" customWidth="1"/>
  </cols>
  <sheetData>
    <row r="1" spans="1:1" x14ac:dyDescent="0.3">
      <c r="A1" t="str" cm="1">
        <f t="array" ref="A1:A5">_xlfn.UNIQUE(Div2PartnerList[PARTNER NAME])</f>
        <v>BEYOND EXPRESS</v>
      </c>
    </row>
    <row r="2" spans="1:1" x14ac:dyDescent="0.3">
      <c r="A2" t="str">
        <v>CIRCLE TRANSIT</v>
      </c>
    </row>
    <row r="3" spans="1:1" x14ac:dyDescent="0.3">
      <c r="A3" t="str">
        <v>DIRECT TRANSIT LLC</v>
      </c>
    </row>
    <row r="4" spans="1:1" x14ac:dyDescent="0.3">
      <c r="A4" t="str">
        <v>Q-TELL TRANSIT LLC</v>
      </c>
    </row>
    <row r="5" spans="1:1" x14ac:dyDescent="0.3">
      <c r="A5" t="str">
        <v>DEAN LOGISTICS SOLUTIONS LLC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64BF6BD-D079-4CA8-8920-2E6E64D07374}">
  <ds:schemaRefs>
    <ds:schemaRef ds:uri="7da8d662-c373-4bdc-9a9f-4efd5212cc08"/>
    <ds:schemaRef ds:uri="http://schemas.openxmlformats.org/package/2006/metadata/core-properties"/>
    <ds:schemaRef ds:uri="http://purl.org/dc/terms/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7f2e4ee4-515b-4d13-9a18-91f5c892a786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CD829AE-E2F9-48B6-9E2B-7C8F231D01F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BD2019D6-EB03-4DBB-805D-0BFBA7873F8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F8E316F-644C-4C71-B90E-34DE3DD70C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11</vt:i4>
      </vt:variant>
    </vt:vector>
  </HeadingPairs>
  <TitlesOfParts>
    <vt:vector size="26" baseType="lpstr">
      <vt:lpstr>SEND VDP Statement</vt:lpstr>
      <vt:lpstr>Pay Period</vt:lpstr>
      <vt:lpstr>Deduction and other Revenue</vt:lpstr>
      <vt:lpstr>PR</vt:lpstr>
      <vt:lpstr>NewSheet</vt:lpstr>
      <vt:lpstr>VDPMVReport</vt:lpstr>
      <vt:lpstr>Sheet1</vt:lpstr>
      <vt:lpstr>SumVDPMVReport</vt:lpstr>
      <vt:lpstr>Div2PartnerOperatorCheck</vt:lpstr>
      <vt:lpstr>ExPre</vt:lpstr>
      <vt:lpstr>Div2PartnerListPR</vt:lpstr>
      <vt:lpstr>Div2PartnerList</vt:lpstr>
      <vt:lpstr>TollsChecks</vt:lpstr>
      <vt:lpstr>Tolls</vt:lpstr>
      <vt:lpstr>FilePath</vt:lpstr>
      <vt:lpstr>FilePath1</vt:lpstr>
      <vt:lpstr>FilePath10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>The Bottom Line Bookkeeping</cp:keywords>
  <dc:description/>
  <cp:lastModifiedBy>Carolina Piedrahita</cp:lastModifiedBy>
  <cp:revision/>
  <dcterms:created xsi:type="dcterms:W3CDTF">2023-08-16T16:37:36Z</dcterms:created>
  <dcterms:modified xsi:type="dcterms:W3CDTF">2025-02-05T15:39:48Z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2024-07-24T12:49:41Z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efd8968d-320d-4b75-b671-b21534a4154f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