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DIV2 Payroll Analysis\"/>
    </mc:Choice>
  </mc:AlternateContent>
  <xr:revisionPtr revIDLastSave="0" documentId="13_ncr:1_{6531F587-01A8-4866-AAA2-1D17FDE281C1}" xr6:coauthVersionLast="47" xr6:coauthVersionMax="47" xr10:uidLastSave="{00000000-0000-0000-0000-000000000000}"/>
  <bookViews>
    <workbookView xWindow="-120" yWindow="-120" windowWidth="29040" windowHeight="15720" firstSheet="1" activeTab="3" xr2:uid="{B8D06934-52C6-4BB8-B059-005FB850008B}"/>
  </bookViews>
  <sheets>
    <sheet name="SEND VDP Statement" sheetId="21" r:id="rId1"/>
    <sheet name="Pay Period" sheetId="3" r:id="rId2"/>
    <sheet name="Deduction and other Revenue" sheetId="11" state="hidden" r:id="rId3"/>
    <sheet name="PR" sheetId="12" r:id="rId4"/>
    <sheet name="PRExportPrep" sheetId="16" state="veryHidden" r:id="rId5"/>
    <sheet name="NewSheet" sheetId="8" r:id="rId6"/>
    <sheet name="VDPMVReport" sheetId="7" state="hidden" r:id="rId7"/>
    <sheet name="Sheet1" sheetId="22" r:id="rId8"/>
    <sheet name="SumVDPMVReport" sheetId="10" r:id="rId9"/>
    <sheet name="Div2PartnerOperatorCheck" sheetId="17" r:id="rId10"/>
    <sheet name="ExPre" sheetId="15" state="hidden" r:id="rId11"/>
    <sheet name="Div2PartnerListPR" sheetId="13" state="hidden" r:id="rId12"/>
    <sheet name="Div2PartnerList" sheetId="6" state="hidden" r:id="rId13"/>
    <sheet name="TollsChecks" sheetId="20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5" hidden="1">NewSheet!$B$11:$Q$29</definedName>
    <definedName name="Customer_ID">[1]INVOICE!$C$11</definedName>
    <definedName name="Customer_Name">[1]INVOICE!$H$7</definedName>
    <definedName name="ExternalData_1" localSheetId="12" hidden="1">Div2PartnerList!$A$1:$G$59</definedName>
    <definedName name="ExternalData_1" localSheetId="8" hidden="1">SumVDPMVReport!$A$1:$BJ$11</definedName>
    <definedName name="ExternalData_1" localSheetId="14" hidden="1">Tolls!$A$1:$G$2</definedName>
    <definedName name="ExternalData_2" localSheetId="2" hidden="1">'Deduction and other Revenue'!$A$1:$Q$26</definedName>
    <definedName name="ExternalData_2" localSheetId="11" hidden="1">Div2PartnerListPR!$A$1:$E$6</definedName>
    <definedName name="ExternalData_2" localSheetId="9" hidden="1">Div2PartnerOperatorCheck!$A$1:$D$59</definedName>
    <definedName name="ExternalData_2" localSheetId="13" hidden="1">TollsChecks!$A$1:$G$2</definedName>
    <definedName name="ExternalData_2" localSheetId="6" hidden="1">VDPMVReport!$A$1:$AK$38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1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22" l="1"/>
  <c r="F12" i="22"/>
  <c r="F11" i="22"/>
  <c r="F10" i="22"/>
  <c r="F9" i="22"/>
  <c r="F8" i="22"/>
  <c r="F6" i="22"/>
  <c r="F5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D6" i="12" l="1"/>
  <c r="J6" i="12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6" i="12" a="1"/>
  <c r="K6" i="12" s="1"/>
  <c r="K14" i="12" s="1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<sst xmlns="http://schemas.openxmlformats.org/spreadsheetml/2006/main" count="1194" uniqueCount="370">
  <si>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</si>
  <si>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</si>
  <si>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</si>
  <si>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</si>
  <si>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</si>
  <si>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</si>
  <si>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</si>
  <si>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</si>
  <si>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</si>
  <si>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</si>
  <si>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</si>
  <si>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</si>
  <si>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</si>
  <si>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</si>
  <si>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</si>
  <si>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</si>
  <si>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</si>
  <si>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</si>
  <si>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</si>
  <si>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</si>
  <si>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</si>
  <si>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</si>
  <si>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</si>
  <si>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</si>
  <si>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</si>
  <si>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</si>
  <si>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</si>
  <si>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</si>
  <si>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</si>
  <si>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</si>
  <si>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</si>
  <si>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</si>
  <si>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</si>
  <si>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</si>
  <si>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</si>
  <si>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</si>
  <si>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</si>
  <si>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</si>
  <si>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</si>
  <si>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</si>
  <si>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</si>
  <si>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</si>
  <si>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</si>
  <si>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</si>
  <si>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</si>
  <si>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</si>
  <si>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</si>
  <si>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</si>
  <si>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</si>
  <si>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</si>
  <si>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</si>
  <si>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</si>
  <si>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</si>
  <si>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</si>
  <si>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</si>
  <si>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</si>
  <si>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</si>
  <si>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</si>
  <si>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</si>
  <si>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</si>
  <si>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</si>
  <si>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</si>
  <si>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</si>
  <si>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</si>
  <si>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</si>
  <si>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</si>
  <si>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</si>
  <si>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</si>
  <si>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</si>
  <si>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</si>
  <si>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</si>
  <si>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</si>
  <si>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</si>
  <si>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</si>
  <si>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</si>
  <si>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</si>
  <si>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</si>
  <si>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</si>
  <si>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</si>
  <si>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</si>
  <si>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</si>
  <si>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</si>
  <si>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</si>
  <si>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</si>
  <si>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</si>
  <si>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</si>
  <si>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</si>
  <si>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</si>
  <si>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</si>
  <si>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</si>
  <si>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</si>
  <si>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</si>
  <si>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</si>
  <si>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</si>
  <si>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</si>
  <si>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</si>
  <si>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</si>
  <si>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</si>
  <si>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</si>
  <si>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</si>
  <si>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</si>
  <si>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</si>
  <si>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</si>
  <si>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</si>
  <si>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</si>
  <si>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</si>
  <si>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</si>
  <si>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</si>
  <si>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</si>
  <si>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</si>
  <si>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</si>
  <si>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</si>
  <si>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</si>
  <si>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</si>
  <si>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</si>
  <si>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</si>
  <si>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</si>
  <si>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</si>
  <si>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</si>
  <si>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</si>
  <si>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</si>
  <si>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</si>
  <si>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</si>
  <si>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</si>
  <si>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</si>
  <si>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</si>
  <si>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</si>
  <si>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</si>
  <si>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</si>
  <si>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</si>
  <si>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</si>
  <si>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</si>
  <si>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</si>
  <si>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</si>
  <si>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</si>
  <si>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</si>
  <si>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</si>
  <si>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</si>
  <si>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</si>
  <si>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</si>
  <si>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</si>
  <si>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</si>
  <si>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</si>
  <si>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</si>
  <si>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</si>
  <si>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</si>
  <si>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</si>
  <si>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</si>
  <si>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</si>
  <si>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</si>
  <si>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</si>
  <si>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</si>
  <si>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</si>
  <si>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</si>
  <si>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</si>
  <si>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</si>
  <si>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</si>
  <si>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</si>
  <si>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</si>
  <si>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</si>
  <si>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</si>
  <si>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</si>
  <si>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</si>
  <si>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</si>
  <si>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</si>
  <si>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</si>
  <si>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</si>
  <si>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</si>
  <si>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</si>
  <si>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</si>
  <si>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</si>
  <si>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</si>
  <si>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</si>
  <si>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</si>
  <si>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</si>
  <si>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</si>
  <si>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</si>
  <si>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</si>
  <si>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</si>
  <si>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</si>
  <si>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</si>
  <si>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</si>
  <si>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</si>
  <si>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</si>
  <si>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</si>
  <si>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</si>
  <si>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</si>
  <si>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</si>
  <si>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</si>
  <si>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</si>
  <si>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</si>
  <si>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</si>
  <si>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</si>
  <si>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</si>
  <si>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</si>
  <si>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</si>
  <si>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</si>
  <si>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</si>
  <si>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</si>
  <si>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</si>
  <si>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</si>
  <si>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</si>
  <si>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</si>
  <si>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</si>
  <si>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</si>
  <si>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</si>
  <si>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</si>
  <si>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</si>
  <si>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</si>
  <si>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</si>
  <si>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</si>
  <si>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</si>
  <si>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</si>
  <si>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</si>
  <si>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</si>
  <si>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</si>
  <si>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</si>
  <si>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</si>
  <si>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</si>
  <si>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</si>
  <si>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</si>
  <si>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</si>
  <si>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</si>
  <si>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</si>
  <si>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</si>
  <si>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</si>
  <si>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</si>
  <si>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</si>
  <si>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</si>
  <si>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</si>
  <si>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</si>
  <si>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</si>
  <si>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</si>
  <si>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</si>
  <si>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</si>
  <si>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</si>
  <si>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</si>
  <si>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</si>
  <si>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</si>
  <si>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</si>
  <si>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</si>
  <si>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</si>
  <si>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</si>
  <si>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</si>
  <si>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</si>
  <si>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</si>
  <si>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</si>
  <si>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</si>
  <si>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</si>
  <si>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</si>
  <si>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</si>
  <si>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</si>
  <si>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</si>
  <si>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</si>
  <si>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</si>
  <si>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</si>
  <si>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</si>
  <si>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</si>
  <si>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</si>
  <si>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</si>
  <si>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</si>
  <si>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</si>
  <si>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</si>
  <si>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</si>
  <si>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</si>
  <si>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</si>
  <si>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</si>
  <si>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</si>
  <si>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</si>
  <si>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</si>
  <si>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</si>
  <si>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</si>
  <si>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</si>
  <si>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</si>
  <si>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</si>
  <si>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</si>
  <si>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</si>
  <si>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</si>
  <si>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</si>
  <si>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</si>
  <si>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</si>
  <si>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</si>
  <si>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</si>
  <si>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</si>
  <si>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</si>
  <si>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</si>
  <si>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</si>
  <si>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</si>
  <si>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</si>
  <si>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</si>
  <si>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</si>
  <si>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</si>
  <si>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</si>
  <si>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</si>
  <si>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</si>
  <si>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</si>
  <si>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</si>
  <si>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</si>
  <si>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</si>
  <si>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</si>
  <si>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</si>
  <si>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</si>
  <si>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</si>
  <si>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</si>
  <si>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</si>
  <si>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</si>
  <si>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</si>
  <si>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</si>
  <si>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</si>
  <si>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BRENDA</t>
  </si>
  <si>
    <t>LUMPKIN</t>
  </si>
  <si>
    <t>Dennis</t>
  </si>
  <si>
    <t>Jones</t>
  </si>
  <si>
    <t>STERLING</t>
  </si>
  <si>
    <t>ROGERS</t>
  </si>
  <si>
    <t>Jones Jr</t>
  </si>
  <si>
    <t>HENRY</t>
  </si>
  <si>
    <t>PINCKNEY</t>
  </si>
  <si>
    <t>Ethel</t>
  </si>
  <si>
    <t>Stewart</t>
  </si>
  <si>
    <t>Sarah</t>
  </si>
  <si>
    <t>Reinhard</t>
  </si>
  <si>
    <t>Grand Total</t>
  </si>
  <si>
    <t>WALTER BURTON</t>
  </si>
  <si>
    <t>DIV2-IL</t>
  </si>
  <si>
    <t>Extra hours</t>
  </si>
  <si>
    <t>MICHAEL</t>
  </si>
  <si>
    <t>WESLEY</t>
  </si>
  <si>
    <t>8a53631f-e95d-497e-9f6b-94a59bf6f636</t>
  </si>
  <si>
    <t>KEITH</t>
  </si>
  <si>
    <t>CAMPBELL</t>
  </si>
  <si>
    <t>284b9ad4-43a7-4bc4-80f4-eed55e231392</t>
  </si>
  <si>
    <t>b06c3f82-32fd-4a9d-8c54-c7cfa213c376</t>
  </si>
  <si>
    <t>7a0ecf1f-5b18-42e6-a740-2a868b7052d0</t>
  </si>
  <si>
    <t>d1b3a90c-a07c-4a21-9f92-a312a5a2f56b</t>
  </si>
  <si>
    <t>BRIAN</t>
  </si>
  <si>
    <t>SMITH</t>
  </si>
  <si>
    <t>91a338b2-da4e-4086-ae08-c5bc0d720bb8</t>
  </si>
  <si>
    <t>f3d50d20-6656-4a9b-bd58-d99601e7189a</t>
  </si>
  <si>
    <t>Lawrence</t>
  </si>
  <si>
    <t>Moore</t>
  </si>
  <si>
    <t>b35f1770-90e0-40dd-b13a-6d24540e43db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</si>
  <si>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</si>
  <si>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</si>
  <si>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</si>
  <si>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</si>
  <si>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</si>
  <si>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</si>
  <si>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</si>
  <si>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</si>
  <si>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</si>
  <si>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</si>
  <si>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</si>
  <si>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</si>
  <si>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</si>
  <si>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</si>
  <si>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</si>
  <si>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</si>
  <si>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</si>
  <si>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David</t>
  </si>
  <si>
    <t>Rodgers</t>
  </si>
  <si>
    <t>febac3d6-acba-44ce-afd0-0ab4ec60b217</t>
  </si>
  <si>
    <t>ANTWAN</t>
  </si>
  <si>
    <t>LAMBERT JR</t>
  </si>
  <si>
    <t>1cf99add-e853-4b78-9d16-07a0a98a43fd</t>
  </si>
  <si>
    <t>eae086cc-8911-4063-9a13-f490618c484d</t>
  </si>
  <si>
    <t>WALTER</t>
  </si>
  <si>
    <t>BURTON</t>
  </si>
  <si>
    <t>35e88020-5a1f-4c0b-a669-3e15886fa4c3</t>
  </si>
  <si>
    <t>info@deanlogisticssolutions.com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</si>
</sst>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166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165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165" fontId="9" fillId="0" borderId="3" xfId="0" applyNumberFormat="1" applyFont="1" applyBorder="1" applyAlignment="1">
      <alignment horizontal="right" vertical="center"/>
    </xf>
    <xf numFmtId="168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8" fontId="6" fillId="4" borderId="9" xfId="0" applyNumberFormat="1" applyFont="1" applyFill="1" applyBorder="1" applyAlignment="1">
      <alignment horizontal="center" vertical="center" wrapText="1" readingOrder="1"/>
    </xf>
    <xf numFmtId="168" fontId="11" fillId="0" borderId="0" xfId="0" applyNumberFormat="1" applyFont="1" applyAlignment="1">
      <alignment horizontal="right" vertical="center"/>
    </xf>
    <xf numFmtId="168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8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8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8" fontId="15" fillId="0" borderId="0" xfId="7" applyNumberFormat="1" applyAlignment="1">
      <alignment horizontal="center"/>
    </xf>
    <xf numFmtId="168" fontId="15" fillId="0" borderId="0" xfId="7" quotePrefix="1" applyNumberFormat="1" applyAlignment="1">
      <alignment horizontal="center"/>
    </xf>
    <xf numFmtId="168" fontId="15" fillId="0" borderId="0" xfId="6" applyNumberFormat="1" applyFont="1" applyAlignment="1" applyProtection="1">
      <alignment horizontal="center"/>
    </xf>
    <xf numFmtId="168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8" fontId="8" fillId="2" borderId="0" xfId="7" applyNumberFormat="1" applyFont="1" applyFill="1" applyAlignment="1">
      <alignment horizontal="center"/>
    </xf>
    <xf numFmtId="168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8" fontId="8" fillId="0" borderId="13" xfId="0" applyNumberFormat="1" applyFont="1" applyBorder="1" applyAlignment="1">
      <alignment horizontal="left" vertical="center"/>
    </xf>
    <xf numFmtId="168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8" fontId="7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8" fontId="0" fillId="0" borderId="0" xfId="10" applyNumberFormat="1" applyFont="1" applyAlignment="1">
      <alignment horizontal="center" vertical="center"/>
    </xf>
    <xf numFmtId="168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8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8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8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164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9" fontId="0" fillId="0" borderId="0" xfId="11" applyNumberFormat="1" applyFont="1"/>
    <xf numFmtId="169" fontId="0" fillId="11" borderId="0" xfId="11" applyNumberFormat="1" applyFont="1" applyFill="1"/>
    <xf numFmtId="169" fontId="0" fillId="11" borderId="0" xfId="11" applyNumberFormat="1" applyFont="1" applyFill="1" applyAlignment="1">
      <alignment horizontal="center"/>
    </xf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8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3"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14" formatCode="0.00%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0163287037" createdVersion="8" refreshedVersion="8" minRefreshableVersion="3" recordCount="10" xr:uid="{492C9D3A-18D3-4A6B-BF79-3EBAF47C3470}">
  <cacheSource type="worksheet">
    <worksheetSource name="SumVDPMVReport"/>
  </cacheSource>
  <cacheFields count="62">
    <cacheField name="WeekN" numFmtId="0">
      <sharedItems containsBlank="1" count="3">
        <s v="Week1"/>
        <s v="Week2"/>
        <m u="1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23.63" maxValue="222.6" count="31">
        <n v="23.63"/>
        <n v="209.74"/>
        <n v="190.32"/>
        <n v="50.22"/>
        <n v="83.74"/>
        <n v="24.35"/>
        <n v="221.13"/>
        <n v="205.48"/>
        <n v="26.38"/>
        <n v="106.97"/>
        <n v="50.03" u="1"/>
        <n v="211.94000000000003" u="1"/>
        <n v="176.70999999999998" u="1"/>
        <n v="45.440000000000005" u="1"/>
        <n v="96.74" u="1"/>
        <n v="40.159999999999997" u="1"/>
        <n v="222.6" u="1"/>
        <n v="210.14000000000001" u="1"/>
        <n v="30.709999999999997" u="1"/>
        <n v="55.01" u="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23.63" maxValue="140" count="16">
        <n v="23.63"/>
        <n v="140"/>
        <n v="50.22"/>
        <n v="70"/>
        <n v="24.35"/>
        <n v="26.38"/>
        <n v="50" u="1"/>
        <n v="45.440000000000005" u="1"/>
        <n v="40.159999999999997" u="1"/>
        <n v="30.709999999999997" u="1"/>
        <n v="55.01" u="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22">
        <n v="0"/>
        <n v="69.740000000000009"/>
        <n v="50.319999999999993"/>
        <n v="13.739999999999995"/>
        <n v="80"/>
        <n v="65.47999999999999"/>
        <n v="36.97"/>
        <n v="30" u="1"/>
        <n v="40" u="1"/>
        <n v="71.940000000000026" u="1"/>
        <n v="36.70999999999998" u="1"/>
        <n v="26.739999999999995" u="1"/>
        <n v="70" u="1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43966666666666698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85465116279069797" maxValue="1"/>
    </cacheField>
    <cacheField name="Cancellation Rate" numFmtId="0">
      <sharedItems containsSemiMixedTypes="0" containsString="0" containsNumber="1" minValue="0" maxValue="3.5799522673030999E-2"/>
    </cacheField>
    <cacheField name="Tier 1 ARDCRI KPI Rev" numFmtId="0">
      <sharedItems containsSemiMixedTypes="0" containsString="0" containsNumber="1" minValue="0" maxValue="769"/>
    </cacheField>
    <cacheField name="Tier 2 ARDCRI KPI Rev" numFmtId="0">
      <sharedItems containsSemiMixedTypes="0" containsString="0" containsNumber="1" minValue="0" maxValue="186.60290000000001"/>
    </cacheField>
    <cacheField name="Utilization%" numFmtId="0">
      <sharedItems containsSemiMixedTypes="0" containsString="0" containsNumber="1" minValue="0.69506625062180605" maxValue="0.96741430385103699"/>
    </cacheField>
    <cacheField name="Utilization Rev" numFmtId="0">
      <sharedItems containsSemiMixedTypes="0" containsString="0" containsNumber="1" minValue="0" maxValue="363.46699999999998"/>
    </cacheField>
    <cacheField name="Driver Tips" numFmtId="0">
      <sharedItems containsSemiMixedTypes="0" containsString="0" containsNumber="1" minValue="9" maxValue="152.75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minValue="0" maxValue="1217.8499999999999"/>
    </cacheField>
    <cacheField name="Total Rev" numFmtId="0">
      <sharedItems containsSemiMixedTypes="0" containsString="0" containsNumber="1" minValue="566.66" maxValue="7434.53"/>
    </cacheField>
    <cacheField name="Payable Online Hours" numFmtId="0">
      <sharedItems containsSemiMixedTypes="0" containsString="0" containsNumber="1" minValue="23.63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6"/>
    </cacheField>
    <cacheField name="Tier 1 ARDCRI KPI" numFmtId="0">
      <sharedItems containsSemiMixedTypes="0" containsString="0" containsNumber="1" minValue="0" maxValue="220"/>
    </cacheField>
    <cacheField name="Tier 2 ARDCRI KPI" numFmtId="0">
      <sharedItems containsSemiMixedTypes="0" containsString="0" containsNumber="1" minValue="0" maxValue="106.97"/>
    </cacheField>
    <cacheField name="Total ARDCRI KPI Rev" numFmtId="0">
      <sharedItems containsSemiMixedTypes="0" containsString="0" containsNumber="1" minValue="0" maxValue="769"/>
    </cacheField>
    <cacheField name="Approved Extra Hours" numFmtId="0">
      <sharedItems containsSemiMixedTypes="0" containsString="0" containsNumber="1" containsInteger="1" minValue="0" maxValue="11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ntainsBlank="1" count="6">
        <s v="BEYOND EXPRESS"/>
        <s v="DIRECT TRANSIT LLC"/>
        <s v="CIRCLE TRANSIT"/>
        <s v="DEAN LOGISTICS SOLUTIONS LLC"/>
        <s v="Q-TELL TRANSIT LLC"/>
        <m u="1"/>
      </sharedItems>
    </cacheField>
    <cacheField name="Total Comp Trips" numFmtId="0">
      <sharedItems containsSemiMixedTypes="0" containsString="0" containsNumber="1" containsInteger="1" minValue="51" maxValue="383"/>
    </cacheField>
    <cacheField name="Total Supply Hours" numFmtId="0">
      <sharedItems containsSemiMixedTypes="0" containsString="0" containsNumber="1" minValue="23.63" maxValue="221.25"/>
    </cacheField>
    <cacheField name="Paused Hours" numFmtId="0">
      <sharedItems containsSemiMixedTypes="0" containsString="0" containsNumber="1" minValue="0" maxValue="5.03"/>
    </cacheField>
    <cacheField name="WAV Trips" numFmtId="0">
      <sharedItems containsSemiMixedTypes="0" containsString="0" containsNumber="1" containsInteger="1" minValue="0" maxValue="42"/>
    </cacheField>
    <cacheField name="Non WAV Trips" numFmtId="0">
      <sharedItems containsSemiMixedTypes="0" containsString="0" containsNumber="1" containsInteger="1" minValue="51" maxValue="342"/>
    </cacheField>
    <cacheField name="Utilized Hours" numFmtId="0">
      <sharedItems containsSemiMixedTypes="0" containsString="0" containsNumber="1" minValue="22.59" maxValue="171.85"/>
    </cacheField>
    <cacheField name="Open Hours" numFmtId="0">
      <sharedItems containsSemiMixedTypes="0" containsString="0" containsNumber="1" minValue="0.77" maxValue="67.42"/>
    </cacheField>
    <cacheField name="Core Total Supply Hours" numFmtId="0">
      <sharedItems containsSemiMixedTypes="0" containsString="0" containsNumber="1" minValue="0" maxValue="85.1"/>
    </cacheField>
    <cacheField name="Core Utilized Hours" numFmtId="0">
      <sharedItems containsSemiMixedTypes="0" containsString="0" containsNumber="1" minValue="0" maxValue="71.489999999999995"/>
    </cacheField>
    <cacheField name="Trips Per Hours" numFmtId="0">
      <sharedItems containsSemiMixedTypes="0" containsString="0" containsNumber="1" minValue="2.16" maxValue="12.6"/>
    </cacheField>
    <cacheField name="Total Accepts" numFmtId="0">
      <sharedItems containsSemiMixedTypes="0" containsString="0" containsNumber="1" containsInteger="1" minValue="64" maxValue="451"/>
    </cacheField>
    <cacheField name="Total Rejects" numFmtId="0">
      <sharedItems containsSemiMixedTypes="0" containsString="0" containsNumber="1" containsInteger="1" minValue="0" maxValue="14"/>
    </cacheField>
    <cacheField name="Total Cancels" numFmtId="0">
      <sharedItems containsSemiMixedTypes="0" containsString="0" containsNumber="1" containsInteger="1" minValue="0" maxValue="16"/>
    </cacheField>
    <cacheField name="KPI Hours" numFmtId="0">
      <sharedItems containsSemiMixedTypes="0" containsString="0" containsNumber="1" minValue="0" maxValue="190.96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ARDCRI Non KPI" numFmtId="0">
      <sharedItems containsSemiMixedTypes="0" containsString="0" containsNumber="1" minValue="0" maxValue="83.74"/>
    </cacheField>
    <cacheField name="Driver Earnings Excl Tips" numFmtId="0">
      <sharedItems containsSemiMixedTypes="0" containsString="0" containsNumber="1" minValue="515.36" maxValue="4203.92999999999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0.47260000000000002"/>
    <n v="0"/>
    <n v="0"/>
    <n v="0"/>
    <n v="0"/>
    <n v="0"/>
    <n v="1"/>
    <n v="3.125E-2"/>
    <n v="0"/>
    <n v="0"/>
    <n v="0.96741430385103699"/>
    <n v="0"/>
    <n v="9"/>
    <n v="0"/>
    <n v="557.66"/>
    <n v="566.66"/>
    <n v="23.63"/>
    <n v="50"/>
    <n v="0"/>
    <n v="0"/>
    <n v="23.63"/>
    <n v="0"/>
    <n v="0"/>
    <n v="0"/>
    <d v="2024-12-16T00:00:00"/>
    <x v="0"/>
    <n v="51"/>
    <n v="23.63"/>
    <n v="0"/>
    <n v="0"/>
    <n v="51"/>
    <n v="22.86"/>
    <n v="0.77"/>
    <n v="12.02"/>
    <n v="11.58"/>
    <n v="2.16"/>
    <n v="64"/>
    <n v="0"/>
    <n v="2"/>
    <n v="23.63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57.66"/>
  </r>
  <r>
    <x v="0"/>
    <n v="210"/>
    <x v="1"/>
    <x v="1"/>
    <x v="1"/>
    <n v="0.99876190476190496"/>
    <n v="2866.5"/>
    <n v="1858.5709999999999"/>
    <n v="1453.8680000000004"/>
    <n v="0"/>
    <n v="0"/>
    <n v="0.977653631284916"/>
    <n v="5.7142857142857099E-3"/>
    <n v="726.93399999999997"/>
    <n v="0"/>
    <n v="0.79121769810241205"/>
    <n v="363.46699999999998"/>
    <n v="139.47999999999999"/>
    <n v="0"/>
    <n v="0"/>
    <n v="7408.82"/>
    <n v="209.74"/>
    <n v="210"/>
    <n v="1453.8679999999999"/>
    <n v="2"/>
    <n v="209.74"/>
    <n v="0"/>
    <n v="726.93399999999997"/>
    <n v="0"/>
    <d v="2024-12-16T00:00:00"/>
    <x v="1"/>
    <n v="330"/>
    <n v="210.12"/>
    <n v="0.38"/>
    <n v="36"/>
    <n v="294"/>
    <n v="165.95"/>
    <n v="43.78"/>
    <n v="45.35"/>
    <n v="40.989999999999995"/>
    <n v="9.3699999999999992"/>
    <n v="350"/>
    <n v="6"/>
    <n v="2"/>
    <n v="168.79000000000002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690.53999999999"/>
  </r>
  <r>
    <x v="0"/>
    <n v="191"/>
    <x v="2"/>
    <x v="1"/>
    <x v="2"/>
    <n v="1"/>
    <n v="2861.95"/>
    <n v="1354.1112000000001"/>
    <n v="1297.2495999999999"/>
    <n v="0"/>
    <n v="0"/>
    <n v="0.99054373522458605"/>
    <n v="3.5799522673030999E-2"/>
    <n v="648.62480000000005"/>
    <n v="0"/>
    <n v="0.88939680538041199"/>
    <n v="324.31240000000003"/>
    <n v="152.75"/>
    <n v="0"/>
    <n v="0"/>
    <n v="6638.9979999999996"/>
    <n v="190.32"/>
    <n v="180"/>
    <n v="1297.2496000000001"/>
    <n v="4"/>
    <n v="190.32"/>
    <n v="0"/>
    <n v="648.62480000000005"/>
    <n v="11"/>
    <d v="2024-12-16T00:00:00"/>
    <x v="2"/>
    <n v="346"/>
    <n v="192.69"/>
    <n v="2.37"/>
    <n v="23"/>
    <n v="323"/>
    <n v="169.26999999999998"/>
    <n v="21.04"/>
    <n v="73.400000000000006"/>
    <n v="66.88000000000001"/>
    <n v="12.6"/>
    <n v="419"/>
    <n v="0"/>
    <n v="15"/>
    <n v="138.45999999999998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4203.9299999999985"/>
  </r>
  <r>
    <x v="0"/>
    <n v="60"/>
    <x v="3"/>
    <x v="2"/>
    <x v="0"/>
    <n v="0.83699999999999997"/>
    <n v="0"/>
    <n v="0"/>
    <n v="0"/>
    <n v="0"/>
    <n v="0"/>
    <n v="1"/>
    <n v="8.0000000000000002E-3"/>
    <n v="0"/>
    <n v="0"/>
    <n v="0.95659099960175198"/>
    <n v="0"/>
    <n v="28"/>
    <n v="0"/>
    <n v="1217.8499999999999"/>
    <n v="1245.8499999999999"/>
    <n v="50.22"/>
    <n v="60"/>
    <n v="0"/>
    <n v="0"/>
    <n v="50.22"/>
    <n v="0"/>
    <n v="0"/>
    <n v="0"/>
    <d v="2024-12-16T00:00:00"/>
    <x v="3"/>
    <n v="116"/>
    <n v="50.23"/>
    <n v="0.01"/>
    <n v="0"/>
    <n v="116"/>
    <n v="48.04"/>
    <n v="2.1800000000000002"/>
    <n v="16.25"/>
    <n v="15.78"/>
    <n v="2.31"/>
    <n v="125"/>
    <n v="0"/>
    <n v="1"/>
    <n v="50.22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217.8499999999999"/>
  </r>
  <r>
    <x v="0"/>
    <n v="85"/>
    <x v="4"/>
    <x v="3"/>
    <x v="3"/>
    <n v="0.98517647058823499"/>
    <n v="1430.9749999999999"/>
    <n v="369.74340000000001"/>
    <n v="554.06719999999996"/>
    <n v="0"/>
    <n v="0"/>
    <n v="0.85465116279069797"/>
    <n v="2.7210884353741499E-2"/>
    <n v="0"/>
    <n v="0"/>
    <n v="0.76546453307857598"/>
    <n v="138.51679999999999"/>
    <n v="54.89"/>
    <n v="0"/>
    <n v="0"/>
    <n v="2548.1923999999999"/>
    <n v="83.74"/>
    <n v="85"/>
    <n v="554.06719999999996"/>
    <n v="16"/>
    <n v="0"/>
    <n v="0"/>
    <n v="0"/>
    <n v="0"/>
    <d v="2024-12-16T00:00:00"/>
    <x v="4"/>
    <n v="126"/>
    <n v="84.759999999999991"/>
    <n v="1.02"/>
    <n v="17"/>
    <n v="109"/>
    <n v="64.099999999999994"/>
    <n v="19.64"/>
    <n v="20.090000000000003"/>
    <n v="17.170000000000002"/>
    <n v="2.99"/>
    <n v="147"/>
    <n v="9"/>
    <n v="4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83.74"/>
    <n v="1541.6599999999989"/>
  </r>
  <r>
    <x v="1"/>
    <n v="50"/>
    <x v="5"/>
    <x v="4"/>
    <x v="0"/>
    <n v="0.48699999999999999"/>
    <n v="0"/>
    <n v="0"/>
    <n v="0"/>
    <n v="0"/>
    <n v="0"/>
    <n v="1"/>
    <n v="0"/>
    <n v="0"/>
    <n v="0"/>
    <n v="0.92772073921971199"/>
    <n v="0"/>
    <n v="70"/>
    <n v="0"/>
    <n v="515.36"/>
    <n v="585.36"/>
    <n v="24.35"/>
    <n v="50"/>
    <n v="0"/>
    <n v="0"/>
    <n v="24.35"/>
    <n v="0"/>
    <n v="0"/>
    <n v="0"/>
    <d v="2024-12-23T00:00:00"/>
    <x v="0"/>
    <n v="59"/>
    <n v="24.35"/>
    <n v="0"/>
    <n v="0"/>
    <n v="59"/>
    <n v="22.59"/>
    <n v="1.75"/>
    <n v="0"/>
    <n v="0"/>
    <n v="2.42"/>
    <n v="68"/>
    <n v="0"/>
    <n v="0"/>
    <n v="24.3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15.36"/>
  </r>
  <r>
    <x v="1"/>
    <n v="220"/>
    <x v="6"/>
    <x v="1"/>
    <x v="4"/>
    <n v="1"/>
    <n v="2866.5"/>
    <n v="2132"/>
    <n v="1538.0000000000002"/>
    <n v="0"/>
    <n v="0"/>
    <n v="0.965034965034965"/>
    <n v="1.9323671497584499E-2"/>
    <n v="769"/>
    <n v="0"/>
    <n v="0.69506625062180605"/>
    <n v="0"/>
    <n v="129.03"/>
    <n v="0"/>
    <n v="0"/>
    <n v="7434.53"/>
    <n v="220"/>
    <n v="220"/>
    <n v="1538"/>
    <n v="1"/>
    <n v="220"/>
    <n v="0"/>
    <n v="769"/>
    <n v="0"/>
    <d v="2024-12-23T00:00:00"/>
    <x v="1"/>
    <n v="359"/>
    <n v="221.25"/>
    <n v="0.12000000000000001"/>
    <n v="17"/>
    <n v="342"/>
    <n v="153.70000000000002"/>
    <n v="67.42"/>
    <n v="57.440000000000005"/>
    <n v="44.120000000000005"/>
    <n v="10.51"/>
    <n v="414"/>
    <n v="14"/>
    <n v="8"/>
    <n v="190.96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061.0299999999966"/>
  </r>
  <r>
    <x v="1"/>
    <n v="206"/>
    <x v="7"/>
    <x v="1"/>
    <x v="5"/>
    <n v="1"/>
    <n v="2861.95"/>
    <n v="1762.0668000000001"/>
    <n v="1422.7743999999998"/>
    <n v="0"/>
    <n v="0"/>
    <n v="0.99120879120879102"/>
    <n v="3.54767184035477E-2"/>
    <n v="711.38720000000001"/>
    <n v="0"/>
    <n v="0.83633443644150296"/>
    <n v="355.6936"/>
    <n v="140.38999999999999"/>
    <n v="0"/>
    <n v="0"/>
    <n v="7254.2619999999997"/>
    <n v="205.48"/>
    <n v="205"/>
    <n v="1422.7744"/>
    <n v="3"/>
    <n v="205.48"/>
    <n v="0"/>
    <n v="711.38720000000001"/>
    <n v="1"/>
    <d v="2024-12-23T00:00:00"/>
    <x v="2"/>
    <n v="383"/>
    <n v="210.51000000000002"/>
    <n v="5.03"/>
    <n v="42"/>
    <n v="341"/>
    <n v="171.85"/>
    <n v="33.620000000000005"/>
    <n v="85.1"/>
    <n v="71.489999999999995"/>
    <n v="12.5"/>
    <n v="451"/>
    <n v="1"/>
    <n v="16"/>
    <n v="148.26000000000002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3911.1699999999951"/>
  </r>
  <r>
    <x v="1"/>
    <n v="60"/>
    <x v="8"/>
    <x v="5"/>
    <x v="0"/>
    <n v="0.43966666666666698"/>
    <n v="0"/>
    <n v="0"/>
    <n v="0"/>
    <n v="0"/>
    <n v="0"/>
    <n v="1"/>
    <n v="0"/>
    <n v="0"/>
    <n v="0"/>
    <n v="0.94806671721000801"/>
    <n v="0"/>
    <n v="17.59"/>
    <n v="0"/>
    <n v="588.719999999999"/>
    <n v="606.30999999999995"/>
    <n v="26.38"/>
    <n v="60"/>
    <n v="0"/>
    <n v="0"/>
    <n v="26.38"/>
    <n v="0"/>
    <n v="0"/>
    <n v="0"/>
    <d v="2024-12-23T00:00:00"/>
    <x v="3"/>
    <n v="70"/>
    <n v="26.38"/>
    <n v="0"/>
    <n v="0"/>
    <n v="70"/>
    <n v="25.01"/>
    <n v="1.36"/>
    <n v="14.51"/>
    <n v="14.04"/>
    <n v="2.65"/>
    <n v="74"/>
    <n v="0"/>
    <n v="0"/>
    <n v="26.38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88.719999999999"/>
  </r>
  <r>
    <x v="1"/>
    <n v="107"/>
    <x v="9"/>
    <x v="3"/>
    <x v="6"/>
    <n v="1"/>
    <n v="1430.9749999999999"/>
    <n v="994.86270000000002"/>
    <n v="746.41159999999991"/>
    <n v="0"/>
    <n v="0"/>
    <n v="0.93467336683417102"/>
    <n v="1.6129032258064498E-2"/>
    <n v="0"/>
    <n v="186.60290000000001"/>
    <n v="0.76255024773300895"/>
    <n v="186.60290000000001"/>
    <n v="143.81"/>
    <n v="0"/>
    <n v="0"/>
    <n v="3689.2651000000001"/>
    <n v="106.97"/>
    <n v="100"/>
    <n v="746.41160000000002"/>
    <n v="6"/>
    <n v="0"/>
    <n v="106.97"/>
    <n v="186.60290000000001"/>
    <n v="7"/>
    <d v="2024-12-23T00:00:00"/>
    <x v="4"/>
    <n v="172"/>
    <n v="109.49000000000001"/>
    <n v="2.52"/>
    <n v="30"/>
    <n v="142"/>
    <n v="81.570000000000007"/>
    <n v="25.39"/>
    <n v="43.36"/>
    <n v="39.599999999999994"/>
    <n v="4.95"/>
    <n v="186"/>
    <n v="7"/>
    <n v="3"/>
    <n v="49.2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873.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1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2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9"/>
        <item m="1" x="24"/>
        <item m="1" x="26"/>
        <item m="1" x="21"/>
        <item m="1" x="25"/>
        <item m="1" x="30"/>
        <item m="1" x="27"/>
        <item m="1" x="22"/>
        <item m="1" x="28"/>
        <item m="1" x="23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20"/>
        <item m="1" x="19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m="1" x="15"/>
        <item m="1" x="14"/>
        <item m="1" x="6"/>
        <item m="1" x="13"/>
        <item x="3"/>
        <item x="1"/>
        <item m="1" x="11"/>
        <item m="1" x="7"/>
        <item m="1" x="8"/>
        <item m="1" x="9"/>
        <item m="1" x="12"/>
        <item m="1" x="10"/>
        <item x="0"/>
        <item x="2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0"/>
        <item m="1" x="18"/>
        <item m="1" x="21"/>
        <item m="1" x="19"/>
        <item m="1" x="15"/>
        <item m="1" x="20"/>
        <item m="1" x="17"/>
        <item m="1" x="16"/>
        <item m="1" x="9"/>
        <item m="1" x="10"/>
        <item m="1" x="14"/>
        <item x="4"/>
        <item m="1" x="13"/>
        <item m="1" x="12"/>
        <item m="1" x="11"/>
        <item x="1"/>
        <item m="1" x="8"/>
        <item x="3"/>
        <item x="5"/>
        <item m="1" x="7"/>
        <item x="2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1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21"/>
      <x v="12"/>
      <x/>
    </i>
    <i r="1">
      <x v="1"/>
      <x v="26"/>
      <x v="14"/>
      <x/>
    </i>
    <i>
      <x v="1"/>
      <x/>
      <x v="23"/>
      <x v="5"/>
      <x v="20"/>
    </i>
    <i r="1">
      <x v="1"/>
      <x v="28"/>
      <x v="5"/>
      <x v="18"/>
    </i>
    <i>
      <x v="2"/>
      <x/>
      <x v="24"/>
      <x v="13"/>
      <x/>
    </i>
    <i r="1">
      <x v="1"/>
      <x v="29"/>
      <x v="15"/>
      <x/>
    </i>
    <i>
      <x v="3"/>
      <x/>
      <x v="22"/>
      <x v="5"/>
      <x v="15"/>
    </i>
    <i r="1">
      <x v="1"/>
      <x v="27"/>
      <x v="5"/>
      <x v="11"/>
    </i>
    <i>
      <x v="4"/>
      <x/>
      <x v="25"/>
      <x v="4"/>
      <x v="17"/>
    </i>
    <i r="1">
      <x v="1"/>
      <x v="30"/>
      <x v="4"/>
      <x v="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2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32" dataDxfId="31">
  <tableColumns count="9">
    <tableColumn id="1" xr3:uid="{6E8F3551-4DCE-46CE-BD28-51A8302E87CB}" name="Type" dataDxfId="30"/>
    <tableColumn id="2" xr3:uid="{5404B4C5-ECEF-4C1F-8A18-BC9D8BE1C71B}" name="Start" dataDxfId="29"/>
    <tableColumn id="3" xr3:uid="{ED569C2B-A42E-43C5-A2F6-A3987EE52677}" name="End" dataDxfId="28"/>
    <tableColumn id="8" xr3:uid="{7528310C-79CF-4C2C-A6A6-945EB7C53D6F}" name="Week#" dataDxfId="27"/>
    <tableColumn id="9" xr3:uid="{F2617BD1-87E6-401A-9CEE-DF2A049276C1}" name="Per Normal Hour" dataDxfId="26"/>
    <tableColumn id="10" xr3:uid="{6AF37710-9F7B-4387-9CC2-103D69851C62}" name="Per Bonus Hour" dataDxfId="25"/>
    <tableColumn id="6" xr3:uid="{AE3F7AE3-B9B7-4FBD-BECC-F855DB3120A1}" name="Utilization Target" dataDxfId="24"/>
    <tableColumn id="4" xr3:uid="{76EDF2B3-48C2-41BC-8C8B-1E1DA27282E5}" name="Tier 1 ARDCRI Rate" dataDxfId="23" dataCellStyle="Percent"/>
    <tableColumn id="5" xr3:uid="{623BF9A5-9791-48A7-A063-0FCE89090301}" name="Tier 2 ARDCRI Rate" dataDxfId="22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/>
  <tableColumns count="17">
    <tableColumn id="1" xr3:uid="{E230C15D-1F50-42B6-BAD8-8BBB397BDDF0}" uniqueName="1" name="PARTNER" queryTableFieldId="1" dataDxfId="21"/>
    <tableColumn id="7" xr3:uid="{6391F556-8AFE-459C-94D5-77F89EDE79EE}" uniqueName="7" name="UNIT" queryTableFieldId="16" dataDxfId="20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9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38" tableType="queryTable" totalsRowShown="0">
  <autoFilter ref="A1:AK38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38">
    <sortCondition ref="M1:M38"/>
  </sortState>
  <tableColumns count="37">
    <tableColumn id="1" xr3:uid="{2DF377BE-88DC-4F51-A0C3-719C6FB3A4E6}" uniqueName="1" name="Week" queryTableFieldId="1" dataDxfId="18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J11" tableType="queryTable" totalsRowShown="0">
  <autoFilter ref="A1:BJ11" xr:uid="{DE01B30A-39AF-4694-BB2D-3D7EA17167B1}"/>
  <tableColumns count="62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 dataDxfId="17" dataCellStyle="Percent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6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15"/>
    <tableColumn id="2" xr3:uid="{199F8000-533A-4D13-9D9A-759582A3E92B}" uniqueName="2" name="OPERATOR NAME" queryTableFieldId="2" dataDxfId="14"/>
    <tableColumn id="5" xr3:uid="{9401B264-4438-4ADD-9C9E-230087F8EC3D}" uniqueName="5" name="VDPMVReportOperatorCheck.Operators Name" queryTableFieldId="5" dataDxfId="13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12"/>
    <tableColumn id="3" xr3:uid="{E3BEB53E-30C2-49C0-831F-FA69F47D6A67}" uniqueName="3" name="FILE #" queryTableFieldId="3"/>
    <tableColumn id="2" xr3:uid="{01145E20-AA32-4805-9ED6-07B654B57048}" uniqueName="2" name="EMAIL" queryTableFieldId="2" dataDxfId="11"/>
    <tableColumn id="11" xr3:uid="{E2C6E0DF-970A-4E8B-9039-19535AED8ADA}" uniqueName="11" name="CLIENT TYPE" queryTableFieldId="12" dataDxfId="10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9"/>
    <tableColumn id="2" xr3:uid="{77D45F60-B84F-4823-BCEB-AADF7DF4E8FF}" uniqueName="2" name="OPERATOR NAME" queryTableFieldId="2" dataDxfId="8"/>
    <tableColumn id="10" xr3:uid="{7139AE2B-99E2-48A3-9846-54856CBB34E3}" uniqueName="10" name="CLIENT TYPE" queryTableFieldId="10" dataDxfId="7"/>
    <tableColumn id="3" xr3:uid="{6F5AA685-9A3B-4069-ACE6-1B0E354F2E59}" uniqueName="3" name="VEHICLE TYPE" queryTableFieldId="3" dataDxfId="6"/>
    <tableColumn id="4" xr3:uid="{99C28A24-DD87-4862-91CB-D428594003AE}" uniqueName="4" name="EMAIL" queryTableFieldId="4" dataDxfId="5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2" tableType="queryTable" insertRow="1" totalsRowShown="0">
  <autoFilter ref="A1:G2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L12" sqref="L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45642</v>
      </c>
      <c r="D2" s="60">
        <f>+C2+6</f>
        <v>45648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45649</v>
      </c>
      <c r="D3" s="60">
        <f>+C3+6</f>
        <v>45655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workbookViewId="0">
      <selection activeCell="J27" sqref="J27"/>
    </sheetView>
  </sheetViews>
  <sheetFormatPr defaultRowHeight="15" x14ac:dyDescent="0.25"/>
  <cols>
    <col min="1" max="1" width="33.855468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x14ac:dyDescent="0.25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25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25">
      <c r="A4" t="s">
        <v>37</v>
      </c>
      <c r="B4" t="s">
        <v>38</v>
      </c>
      <c r="C4">
        <v>307</v>
      </c>
      <c r="D4">
        <v>0</v>
      </c>
      <c r="E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P4">
        <v>2</v>
      </c>
      <c r="Q4">
        <v>0</v>
      </c>
    </row>
    <row r="5" spans="1:17" x14ac:dyDescent="0.25">
      <c r="A5" t="s">
        <v>37</v>
      </c>
      <c r="B5" t="s">
        <v>39</v>
      </c>
      <c r="C5">
        <v>309</v>
      </c>
      <c r="D5">
        <v>2</v>
      </c>
      <c r="E5">
        <v>618</v>
      </c>
      <c r="G5">
        <v>95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95</v>
      </c>
    </row>
    <row r="6" spans="1:17" x14ac:dyDescent="0.25">
      <c r="A6" t="s">
        <v>37</v>
      </c>
      <c r="B6" t="s">
        <v>40</v>
      </c>
      <c r="C6">
        <v>309</v>
      </c>
      <c r="D6">
        <v>2</v>
      </c>
      <c r="E6">
        <v>618</v>
      </c>
      <c r="G6">
        <v>500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500</v>
      </c>
    </row>
    <row r="7" spans="1:17" x14ac:dyDescent="0.25">
      <c r="A7" t="s">
        <v>41</v>
      </c>
      <c r="B7" t="s">
        <v>42</v>
      </c>
      <c r="C7">
        <v>309</v>
      </c>
      <c r="D7">
        <v>0</v>
      </c>
      <c r="E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Q7">
        <v>0</v>
      </c>
    </row>
    <row r="8" spans="1:17" x14ac:dyDescent="0.25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25">
      <c r="A9" t="s">
        <v>44</v>
      </c>
      <c r="B9" t="s">
        <v>45</v>
      </c>
      <c r="C9">
        <v>309</v>
      </c>
      <c r="D9">
        <v>2</v>
      </c>
      <c r="E9">
        <v>618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0</v>
      </c>
    </row>
    <row r="10" spans="1:17" x14ac:dyDescent="0.25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25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130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36</v>
      </c>
      <c r="P11">
        <v>1</v>
      </c>
      <c r="Q11">
        <v>130</v>
      </c>
    </row>
    <row r="12" spans="1:17" x14ac:dyDescent="0.25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25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x14ac:dyDescent="0.25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x14ac:dyDescent="0.25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x14ac:dyDescent="0.25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x14ac:dyDescent="0.25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x14ac:dyDescent="0.25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x14ac:dyDescent="0.25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x14ac:dyDescent="0.25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x14ac:dyDescent="0.25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25">
      <c r="A22" t="s">
        <v>65</v>
      </c>
      <c r="B22" t="s">
        <v>66</v>
      </c>
      <c r="C22">
        <v>307</v>
      </c>
      <c r="D22">
        <v>1.5</v>
      </c>
      <c r="E22">
        <v>460.5</v>
      </c>
      <c r="G22">
        <v>95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95</v>
      </c>
    </row>
    <row r="23" spans="1:17" x14ac:dyDescent="0.25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x14ac:dyDescent="0.25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x14ac:dyDescent="0.25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x14ac:dyDescent="0.25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tabSelected="1" zoomScaleNormal="100" workbookViewId="0">
      <pane ySplit="4" topLeftCell="A5" activePane="bottomLeft" state="frozen"/>
      <selection pane="bottomLeft" activeCell="D23" sqref="D23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3.28515625" style="32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324</v>
      </c>
      <c r="B1" s="31"/>
      <c r="C1" s="31"/>
    </row>
    <row r="2" spans="1:21" ht="18.75" x14ac:dyDescent="0.3">
      <c r="A2" s="30"/>
      <c r="B2" s="31"/>
      <c r="C2" s="31"/>
      <c r="D2" s="100" t="s">
        <v>71</v>
      </c>
      <c r="E2" s="100"/>
      <c r="F2" s="100"/>
      <c r="G2" s="100"/>
      <c r="H2" s="100"/>
      <c r="I2" s="100"/>
      <c r="J2" s="101" t="s">
        <v>72</v>
      </c>
      <c r="K2" s="101"/>
      <c r="L2" s="101"/>
      <c r="M2" s="101"/>
      <c r="N2" s="101"/>
      <c r="O2" s="101"/>
      <c r="P2" s="101"/>
    </row>
    <row r="3" spans="1:21" ht="15.75" x14ac:dyDescent="0.25">
      <c r="A3" s="30"/>
      <c r="B3" s="31"/>
      <c r="C3" s="31"/>
      <c r="D3" s="103" t="s">
        <v>73</v>
      </c>
      <c r="E3" s="103"/>
      <c r="F3" s="103" t="s">
        <v>74</v>
      </c>
      <c r="G3" s="103"/>
      <c r="H3" s="103"/>
      <c r="I3" s="103"/>
      <c r="J3" s="35"/>
      <c r="O3" s="35"/>
      <c r="P3" s="35"/>
      <c r="Q3" s="36" t="s">
        <v>75</v>
      </c>
    </row>
    <row r="4" spans="1:21" s="34" customFormat="1" ht="15.75" thickBot="1" x14ac:dyDescent="0.3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35">
      <c r="A5" s="102" t="s">
        <v>36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14843.349999999999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0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130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13485.349999999999</v>
      </c>
      <c r="U6" s="89"/>
    </row>
    <row r="7" spans="1:21" x14ac:dyDescent="0.25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6237.4575000000004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0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460.5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95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5681.9575000000004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13893.259999999998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0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595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12062.259999999998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info@deanlogisticssolutions.com</v>
      </c>
      <c r="D9" s="41">
        <f>IFERROR(SUMIF(SumVDPMVReport[PARTNER NAME],$A9,SumVDPMVReport[Total Rev]),0)</f>
        <v>1852.1599999999999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1234.1599999999999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1152.02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534.02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37978.24749999999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0</v>
      </c>
      <c r="J14" s="47">
        <f t="shared" si="1"/>
        <v>0</v>
      </c>
      <c r="K14" s="47">
        <f t="shared" si="1"/>
        <v>4160.5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820</v>
      </c>
      <c r="P14" s="47">
        <f t="shared" si="1"/>
        <v>0</v>
      </c>
      <c r="Q14" s="47">
        <f t="shared" si="1"/>
        <v>32997.747499999998</v>
      </c>
    </row>
    <row r="17" spans="1:20" ht="15.75" x14ac:dyDescent="0.25">
      <c r="D17" s="48">
        <f>D14</f>
        <v>37978.24749999999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0</v>
      </c>
      <c r="J17" s="48">
        <f t="shared" si="2"/>
        <v>0</v>
      </c>
      <c r="K17" s="48">
        <f t="shared" si="2"/>
        <v>4160.5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820</v>
      </c>
      <c r="P17" s="48">
        <f t="shared" si="2"/>
        <v>0</v>
      </c>
      <c r="Q17" s="48">
        <f t="shared" si="2"/>
        <v>32997.747499999998</v>
      </c>
      <c r="R17" s="48">
        <f t="shared" si="2"/>
        <v>0</v>
      </c>
      <c r="S17" s="48">
        <f t="shared" si="2"/>
        <v>0</v>
      </c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12/16/24,  12/29/24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14843.349999999999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0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130</v>
      </c>
      <c r="P2" cm="1">
        <f t="array" ref="P2:P6">INDEX(PR!P:P,_xlfn.ANCHORARRAY($C2))</f>
        <v>0</v>
      </c>
    </row>
    <row r="3" spans="1:18" x14ac:dyDescent="0.25">
      <c r="C3">
        <v>7</v>
      </c>
      <c r="D3" t="str">
        <v>DIV2-IL</v>
      </c>
      <c r="E3" t="str">
        <v>12/16/24,  12/29/24</v>
      </c>
      <c r="F3">
        <v>2302</v>
      </c>
      <c r="H3">
        <v>6237.4575000000004</v>
      </c>
      <c r="I3">
        <v>0</v>
      </c>
      <c r="J3">
        <v>0</v>
      </c>
      <c r="K3">
        <v>0</v>
      </c>
      <c r="L3">
        <v>0</v>
      </c>
      <c r="M3">
        <v>0</v>
      </c>
      <c r="N3">
        <v>460.5</v>
      </c>
      <c r="O3">
        <v>95</v>
      </c>
      <c r="P3">
        <v>0</v>
      </c>
    </row>
    <row r="4" spans="1:18" x14ac:dyDescent="0.25">
      <c r="C4">
        <v>8</v>
      </c>
      <c r="D4" t="str">
        <v>DIV2-IL</v>
      </c>
      <c r="E4" t="str">
        <v>12/16/24,  12/29/24</v>
      </c>
      <c r="F4">
        <v>2313</v>
      </c>
      <c r="H4">
        <v>13893.259999999998</v>
      </c>
      <c r="I4">
        <v>0</v>
      </c>
      <c r="J4">
        <v>0</v>
      </c>
      <c r="K4">
        <v>0</v>
      </c>
      <c r="L4">
        <v>0</v>
      </c>
      <c r="M4">
        <v>0</v>
      </c>
      <c r="N4">
        <v>1236</v>
      </c>
      <c r="O4">
        <v>595</v>
      </c>
      <c r="P4">
        <v>0</v>
      </c>
    </row>
    <row r="5" spans="1:18" x14ac:dyDescent="0.25">
      <c r="C5">
        <v>9</v>
      </c>
      <c r="D5" t="str">
        <v>DIV2-IL</v>
      </c>
      <c r="E5" t="str">
        <v>12/16/24,  12/29/24</v>
      </c>
      <c r="F5">
        <v>2555</v>
      </c>
      <c r="H5">
        <v>1852.1599999999999</v>
      </c>
      <c r="I5">
        <v>0</v>
      </c>
      <c r="J5">
        <v>0</v>
      </c>
      <c r="K5">
        <v>0</v>
      </c>
      <c r="L5">
        <v>0</v>
      </c>
      <c r="M5">
        <v>0</v>
      </c>
      <c r="N5">
        <v>618</v>
      </c>
      <c r="O5">
        <v>0</v>
      </c>
      <c r="P5">
        <v>0</v>
      </c>
    </row>
    <row r="6" spans="1:18" x14ac:dyDescent="0.25">
      <c r="C6">
        <v>10</v>
      </c>
      <c r="D6" t="str">
        <v>DIV2-IL</v>
      </c>
      <c r="E6" t="str">
        <v>12/16/24,  12/29/24</v>
      </c>
      <c r="F6">
        <v>2298</v>
      </c>
      <c r="H6">
        <v>1152.02</v>
      </c>
      <c r="I6">
        <v>0</v>
      </c>
      <c r="J6">
        <v>0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topLeftCell="D1" zoomScaleNormal="100" workbookViewId="0">
      <selection activeCell="B6" sqref="B6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04" t="s">
        <v>37</v>
      </c>
      <c r="C2" s="104"/>
      <c r="D2" s="104"/>
      <c r="E2" s="104"/>
      <c r="F2" s="104"/>
      <c r="H2" s="28" t="s">
        <v>104</v>
      </c>
      <c r="I2" s="29">
        <f>SUM($V$8,$Y$6)-$AB$7</f>
        <v>12062.259999999998</v>
      </c>
      <c r="M2" s="8"/>
      <c r="V2" s="8"/>
      <c r="X2" s="95" t="s">
        <v>105</v>
      </c>
      <c r="Y2" s="95"/>
      <c r="AA2" s="114" t="s">
        <v>106</v>
      </c>
      <c r="AB2" s="114"/>
      <c r="AD2" s="114" t="s">
        <v>108</v>
      </c>
      <c r="AE2" s="114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X4" s="14" t="s">
        <v>113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1236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0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191</v>
      </c>
      <c r="D6" s="4">
        <v>190.32</v>
      </c>
      <c r="E6" s="4">
        <v>140</v>
      </c>
      <c r="F6" s="4">
        <v>50.319999999999993</v>
      </c>
      <c r="G6" s="67">
        <v>1</v>
      </c>
      <c r="H6" s="74">
        <v>2861.95</v>
      </c>
      <c r="I6" s="8">
        <v>1354.1112000000001</v>
      </c>
      <c r="J6" s="8">
        <v>1297.2495999999999</v>
      </c>
      <c r="K6" s="8">
        <v>0</v>
      </c>
      <c r="L6" s="74">
        <v>0</v>
      </c>
      <c r="M6" s="87">
        <v>0.99054373522458605</v>
      </c>
      <c r="N6" s="87">
        <v>3.5799522673030999E-2</v>
      </c>
      <c r="O6" s="8">
        <v>648.62480000000005</v>
      </c>
      <c r="P6" s="74">
        <v>0</v>
      </c>
      <c r="Q6" s="87">
        <v>0.88939680538041199</v>
      </c>
      <c r="R6" s="8">
        <v>324.31240000000003</v>
      </c>
      <c r="S6" s="8">
        <v>152.75</v>
      </c>
      <c r="T6" s="8">
        <v>0</v>
      </c>
      <c r="U6" s="8">
        <v>0</v>
      </c>
      <c r="V6" s="8">
        <v>6638.9979999999996</v>
      </c>
      <c r="X6" s="51" t="s">
        <v>132</v>
      </c>
      <c r="Y6" s="52">
        <f>SUM(Y3:Y5)</f>
        <v>0</v>
      </c>
      <c r="AA6" s="11" t="s">
        <v>30</v>
      </c>
      <c r="AB6" s="12">
        <f>SUMIF(Deduction_and_other_Revenue[PARTNER],$B$2,Deduction_and_other_Revenue[Total Violation])</f>
        <v>595</v>
      </c>
      <c r="AD6" s="11" t="s">
        <v>133</v>
      </c>
      <c r="AE6" s="12">
        <f>SUMIF(Deduction_and_other_Revenue[PARTNER],$B$2,Deduction_and_other_Revenue[Violation])</f>
        <v>595</v>
      </c>
      <c r="AF6" s="8"/>
      <c r="AJ6" s="6"/>
    </row>
    <row r="7" spans="2:36" ht="15.75" thickBot="1" x14ac:dyDescent="0.3">
      <c r="B7" s="7" t="str">
        <v>Week2</v>
      </c>
      <c r="C7" s="69">
        <v>206</v>
      </c>
      <c r="D7" s="4">
        <v>205.48</v>
      </c>
      <c r="E7" s="4">
        <v>140</v>
      </c>
      <c r="F7" s="4">
        <v>65.47999999999999</v>
      </c>
      <c r="G7" s="67">
        <v>1</v>
      </c>
      <c r="H7" s="74">
        <v>2861.95</v>
      </c>
      <c r="I7" s="8">
        <v>1762.0668000000001</v>
      </c>
      <c r="J7" s="8">
        <v>1422.7743999999998</v>
      </c>
      <c r="K7" s="8">
        <v>0</v>
      </c>
      <c r="L7" s="74">
        <v>0</v>
      </c>
      <c r="M7" s="87">
        <v>0.99120879120879102</v>
      </c>
      <c r="N7" s="87">
        <v>3.54767184035477E-2</v>
      </c>
      <c r="O7" s="8">
        <v>711.38720000000001</v>
      </c>
      <c r="P7" s="74">
        <v>0</v>
      </c>
      <c r="Q7" s="87">
        <v>0.83633443644150296</v>
      </c>
      <c r="R7" s="8">
        <v>355.6936</v>
      </c>
      <c r="S7" s="8">
        <v>140.38999999999999</v>
      </c>
      <c r="T7" s="8">
        <v>0</v>
      </c>
      <c r="U7" s="8">
        <v>0</v>
      </c>
      <c r="V7" s="8">
        <v>7254.2619999999997</v>
      </c>
      <c r="W7" s="8"/>
      <c r="X7" s="8"/>
      <c r="Y7" s="15"/>
      <c r="AA7" s="9" t="s">
        <v>106</v>
      </c>
      <c r="AB7" s="10">
        <f>IFERROR(SUM(AB3:AB6),0)</f>
        <v>1831</v>
      </c>
      <c r="AD7" s="9" t="s">
        <v>30</v>
      </c>
      <c r="AE7" s="10">
        <f>SUM(AE3:AE6)</f>
        <v>595</v>
      </c>
      <c r="AF7" s="8"/>
      <c r="AJ7" s="6"/>
    </row>
    <row r="8" spans="2:36" x14ac:dyDescent="0.25">
      <c r="B8" s="25" t="s">
        <v>134</v>
      </c>
      <c r="C8" s="76">
        <f>SUM(C6:C7)</f>
        <v>397</v>
      </c>
      <c r="D8" s="26">
        <f t="shared" ref="D8:F8" si="0">SUM(D6:D7)</f>
        <v>395.79999999999995</v>
      </c>
      <c r="E8" s="26">
        <f t="shared" si="0"/>
        <v>280</v>
      </c>
      <c r="F8" s="26">
        <f t="shared" si="0"/>
        <v>115.79999999999998</v>
      </c>
      <c r="G8" s="76"/>
      <c r="H8" s="86">
        <f>SUM(H6:H7)</f>
        <v>5723.9</v>
      </c>
      <c r="I8" s="27">
        <f>SUM(I6:I7)</f>
        <v>3116.1779999999999</v>
      </c>
      <c r="J8" s="27">
        <f t="shared" ref="J8:O8" si="1">SUM(J6:J7)</f>
        <v>2720.0239999999994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1360.0120000000002</v>
      </c>
      <c r="P8" s="27">
        <f>SUM(P6:P7)</f>
        <v>0</v>
      </c>
      <c r="Q8" s="88"/>
      <c r="R8" s="27">
        <f>SUM(R6:R7)</f>
        <v>680.00600000000009</v>
      </c>
      <c r="S8" s="27">
        <f>SUM(S6:S7)</f>
        <v>293.14</v>
      </c>
      <c r="T8" s="27">
        <f>SUM(T6:T7)</f>
        <v>0</v>
      </c>
      <c r="U8" s="27">
        <f>SUM(U6:U7)</f>
        <v>0</v>
      </c>
      <c r="V8" s="27">
        <f>SUM(V6:V7)</f>
        <v>13893.259999999998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3"/>
      <c r="N10" s="6"/>
      <c r="O10" s="6"/>
      <c r="P10" s="6"/>
      <c r="Q10" s="6"/>
      <c r="R10" s="6"/>
      <c r="S10" s="6"/>
      <c r="T10" s="6"/>
      <c r="U10" s="6"/>
      <c r="X10" s="115" t="s">
        <v>136</v>
      </c>
      <c r="Y10" s="116"/>
      <c r="Z10" s="116"/>
      <c r="AA10" s="6"/>
      <c r="AB10" s="6"/>
      <c r="AE10" s="6"/>
      <c r="AJ10" s="6"/>
    </row>
    <row r="11" spans="2:36" ht="30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25">_xlfn._xlws.FILTER(VDPMVReport[[Week]:[Tolls]],VDPMVReport[PARTNER NAME]=$B$2,"No Data for the Selected Partner")</f>
        <v>45642</v>
      </c>
      <c r="C12" s="6" t="str">
        <v>Ethel</v>
      </c>
      <c r="D12" s="6" t="str">
        <v>Stewart</v>
      </c>
      <c r="E12" s="6">
        <v>55</v>
      </c>
      <c r="F12" s="66">
        <v>1</v>
      </c>
      <c r="G12" s="67">
        <v>0</v>
      </c>
      <c r="H12" s="5">
        <v>31.44</v>
      </c>
      <c r="I12" s="5">
        <v>0</v>
      </c>
      <c r="J12" s="4">
        <v>31.44</v>
      </c>
      <c r="K12" s="4">
        <v>757.8</v>
      </c>
      <c r="L12" s="3">
        <v>35</v>
      </c>
      <c r="M12" s="3">
        <v>0</v>
      </c>
      <c r="X12" s="8" cm="1">
        <f t="array" ref="X12:Z15">_xlfn._xlws.FILTER(Deduction_and_other_Revenue[[ Lift Lease Rate]:[LIFT LEASE TOTAL]],Deduction_and_other_Revenue[PARTNER]=$B$2,"No Data for the Selected Partner")</f>
        <v>307</v>
      </c>
      <c r="Y12" s="3">
        <v>0</v>
      </c>
      <c r="Z12" s="8">
        <v>0</v>
      </c>
      <c r="AA12" s="6"/>
      <c r="AB12" s="6"/>
      <c r="AE12" s="6"/>
      <c r="AJ12" s="6"/>
    </row>
    <row r="13" spans="2:36" x14ac:dyDescent="0.25">
      <c r="B13" s="7">
        <v>45649</v>
      </c>
      <c r="C13" s="6" t="str">
        <v>Ethel</v>
      </c>
      <c r="D13" s="6" t="str">
        <v>Stewart</v>
      </c>
      <c r="E13" s="6">
        <v>63</v>
      </c>
      <c r="F13" s="66">
        <v>1</v>
      </c>
      <c r="G13" s="67">
        <v>1.4492753623188406E-2</v>
      </c>
      <c r="H13" s="5">
        <v>32.17</v>
      </c>
      <c r="I13" s="5">
        <v>0</v>
      </c>
      <c r="J13" s="4">
        <v>32.17</v>
      </c>
      <c r="K13" s="4">
        <v>640.93999999999903</v>
      </c>
      <c r="L13" s="3">
        <v>58</v>
      </c>
      <c r="M13" s="3">
        <v>0</v>
      </c>
      <c r="X13" s="49">
        <v>309</v>
      </c>
      <c r="Y13" s="6">
        <v>2</v>
      </c>
      <c r="Z13" s="6">
        <v>618</v>
      </c>
    </row>
    <row r="14" spans="2:36" x14ac:dyDescent="0.25">
      <c r="B14" s="7">
        <v>45642</v>
      </c>
      <c r="C14" s="6" t="str">
        <v>BRENDA</v>
      </c>
      <c r="D14" s="6" t="str">
        <v>LUMPKIN</v>
      </c>
      <c r="E14" s="6">
        <v>54</v>
      </c>
      <c r="F14" s="66">
        <v>0.98484848484848486</v>
      </c>
      <c r="G14" s="67">
        <v>0.1076923076923077</v>
      </c>
      <c r="H14" s="5">
        <v>29.31</v>
      </c>
      <c r="I14" s="5">
        <v>0.19</v>
      </c>
      <c r="J14" s="4">
        <v>29.119999999999997</v>
      </c>
      <c r="K14" s="4">
        <v>726.51</v>
      </c>
      <c r="L14" s="3">
        <v>16</v>
      </c>
      <c r="M14" s="3">
        <v>0</v>
      </c>
      <c r="X14" s="49">
        <v>309</v>
      </c>
      <c r="Y14" s="6">
        <v>2</v>
      </c>
      <c r="Z14" s="6">
        <v>618</v>
      </c>
    </row>
    <row r="15" spans="2:36" x14ac:dyDescent="0.25">
      <c r="B15" s="7">
        <v>45649</v>
      </c>
      <c r="C15" s="6" t="str">
        <v>BRENDA</v>
      </c>
      <c r="D15" s="6" t="str">
        <v>LUMPKIN</v>
      </c>
      <c r="E15" s="6">
        <v>47</v>
      </c>
      <c r="F15" s="66">
        <v>0.9821428571428571</v>
      </c>
      <c r="G15" s="67">
        <v>0.10909090909090909</v>
      </c>
      <c r="H15" s="5">
        <v>23.65</v>
      </c>
      <c r="I15" s="5">
        <v>0.11</v>
      </c>
      <c r="J15" s="4">
        <v>23.54</v>
      </c>
      <c r="K15" s="4">
        <v>483.17999999999898</v>
      </c>
      <c r="L15" s="3">
        <v>14</v>
      </c>
      <c r="M15" s="3">
        <v>0</v>
      </c>
      <c r="X15" s="49">
        <v>315</v>
      </c>
      <c r="Y15" s="6">
        <v>0</v>
      </c>
      <c r="Z15" s="6">
        <v>0</v>
      </c>
    </row>
    <row r="16" spans="2:36" x14ac:dyDescent="0.25">
      <c r="B16" s="7">
        <v>45642</v>
      </c>
      <c r="C16" s="6" t="str">
        <v>Dennis</v>
      </c>
      <c r="D16" s="6" t="str">
        <v>Jones</v>
      </c>
      <c r="E16" s="6">
        <v>55</v>
      </c>
      <c r="F16" s="66">
        <v>1</v>
      </c>
      <c r="G16" s="67">
        <v>3.5714285714285712E-2</v>
      </c>
      <c r="H16" s="5">
        <v>29.15</v>
      </c>
      <c r="I16" s="5">
        <v>0.02</v>
      </c>
      <c r="J16" s="4">
        <v>29.13</v>
      </c>
      <c r="K16" s="4">
        <v>580.85999999999899</v>
      </c>
      <c r="L16" s="3">
        <v>33</v>
      </c>
      <c r="M16" s="3">
        <v>0</v>
      </c>
    </row>
    <row r="17" spans="2:13" x14ac:dyDescent="0.25">
      <c r="B17" s="7">
        <v>45649</v>
      </c>
      <c r="C17" s="6" t="str">
        <v>Dennis</v>
      </c>
      <c r="D17" s="6" t="str">
        <v>Jones</v>
      </c>
      <c r="E17" s="6">
        <v>64</v>
      </c>
      <c r="F17" s="66">
        <v>1</v>
      </c>
      <c r="G17" s="67">
        <v>0</v>
      </c>
      <c r="H17" s="5">
        <v>36.380000000000003</v>
      </c>
      <c r="I17" s="5">
        <v>2.75</v>
      </c>
      <c r="J17" s="4">
        <v>33.630000000000003</v>
      </c>
      <c r="K17" s="4">
        <v>628.56999999999903</v>
      </c>
      <c r="L17" s="3">
        <v>22</v>
      </c>
      <c r="M17" s="3">
        <v>0</v>
      </c>
    </row>
    <row r="18" spans="2:13" x14ac:dyDescent="0.25">
      <c r="B18" s="7">
        <v>45642</v>
      </c>
      <c r="C18" s="6" t="str">
        <v>STERLING</v>
      </c>
      <c r="D18" s="6" t="str">
        <v>ROGERS</v>
      </c>
      <c r="E18" s="6">
        <v>45</v>
      </c>
      <c r="F18" s="66">
        <v>0.97916666666666663</v>
      </c>
      <c r="G18" s="67">
        <v>4.2553191489361701E-2</v>
      </c>
      <c r="H18" s="5">
        <v>22.75</v>
      </c>
      <c r="I18" s="5">
        <v>0.01</v>
      </c>
      <c r="J18" s="4">
        <v>22.74</v>
      </c>
      <c r="K18" s="4">
        <v>488.54</v>
      </c>
      <c r="L18" s="3">
        <v>15</v>
      </c>
      <c r="M18" s="3">
        <v>0</v>
      </c>
    </row>
    <row r="19" spans="2:13" x14ac:dyDescent="0.25">
      <c r="B19" s="7">
        <v>45649</v>
      </c>
      <c r="C19" s="6" t="str">
        <v>STERLING</v>
      </c>
      <c r="D19" s="6" t="str">
        <v>ROGERS</v>
      </c>
      <c r="E19" s="6">
        <v>20</v>
      </c>
      <c r="F19" s="66">
        <v>1</v>
      </c>
      <c r="G19" s="67">
        <v>0</v>
      </c>
      <c r="H19" s="5">
        <v>17.850000000000001</v>
      </c>
      <c r="I19" s="5">
        <v>0.13</v>
      </c>
      <c r="J19" s="4">
        <v>17.720000000000002</v>
      </c>
      <c r="K19" s="4">
        <v>214.13</v>
      </c>
      <c r="L19" s="3">
        <v>6</v>
      </c>
      <c r="M19" s="3">
        <v>0</v>
      </c>
    </row>
    <row r="20" spans="2:13" x14ac:dyDescent="0.25">
      <c r="B20" s="7">
        <v>45642</v>
      </c>
      <c r="C20" s="6" t="str">
        <v>Sarah</v>
      </c>
      <c r="D20" s="6" t="str">
        <v>Reinhard</v>
      </c>
      <c r="E20" s="6">
        <v>54</v>
      </c>
      <c r="F20" s="66">
        <v>0.97142857142857142</v>
      </c>
      <c r="G20" s="67">
        <v>2.9411764705882353E-2</v>
      </c>
      <c r="H20" s="5">
        <v>25.55</v>
      </c>
      <c r="I20" s="5">
        <v>0.05</v>
      </c>
      <c r="J20" s="4">
        <v>25.5</v>
      </c>
      <c r="K20" s="4">
        <v>551.91</v>
      </c>
      <c r="L20" s="3">
        <v>18.05</v>
      </c>
      <c r="M20" s="3">
        <v>0</v>
      </c>
    </row>
    <row r="21" spans="2:13" x14ac:dyDescent="0.25">
      <c r="B21" s="7">
        <v>45649</v>
      </c>
      <c r="C21" s="6" t="str">
        <v>Sarah</v>
      </c>
      <c r="D21" s="6" t="str">
        <v>Reinhard</v>
      </c>
      <c r="E21" s="6">
        <v>85</v>
      </c>
      <c r="F21" s="66">
        <v>0.97058823529411764</v>
      </c>
      <c r="G21" s="67">
        <v>2.0202020202020204E-2</v>
      </c>
      <c r="H21" s="5">
        <v>40.090000000000003</v>
      </c>
      <c r="I21" s="5">
        <v>7.0000000000000007E-2</v>
      </c>
      <c r="J21" s="4">
        <v>40.020000000000003</v>
      </c>
      <c r="K21" s="4">
        <v>853.44999999999902</v>
      </c>
      <c r="L21" s="3">
        <v>20</v>
      </c>
      <c r="M21" s="3">
        <v>0</v>
      </c>
    </row>
    <row r="22" spans="2:13" x14ac:dyDescent="0.25">
      <c r="B22" s="7">
        <v>45642</v>
      </c>
      <c r="C22" s="6" t="str">
        <v>Dennis</v>
      </c>
      <c r="D22" s="6" t="str">
        <v>Jones Jr</v>
      </c>
      <c r="E22" s="6">
        <v>29</v>
      </c>
      <c r="F22" s="66">
        <v>1</v>
      </c>
      <c r="G22" s="67">
        <v>3.7037037037037035E-2</v>
      </c>
      <c r="H22" s="5">
        <v>26.75</v>
      </c>
      <c r="I22" s="5">
        <v>2.1</v>
      </c>
      <c r="J22" s="4">
        <v>24.65</v>
      </c>
      <c r="K22" s="4">
        <v>364.81</v>
      </c>
      <c r="L22" s="3">
        <v>10.52</v>
      </c>
      <c r="M22" s="3">
        <v>0</v>
      </c>
    </row>
    <row r="23" spans="2:13" x14ac:dyDescent="0.25">
      <c r="B23" s="7">
        <v>45649</v>
      </c>
      <c r="C23" s="6" t="str">
        <v>Dennis</v>
      </c>
      <c r="D23" s="6" t="str">
        <v>Jones Jr</v>
      </c>
      <c r="E23" s="6">
        <v>52</v>
      </c>
      <c r="F23" s="66">
        <v>1</v>
      </c>
      <c r="G23" s="67">
        <v>5.8823529411764705E-2</v>
      </c>
      <c r="H23" s="5">
        <v>35.229999999999997</v>
      </c>
      <c r="I23" s="5">
        <v>1.55</v>
      </c>
      <c r="J23" s="4">
        <v>33.68</v>
      </c>
      <c r="K23" s="4">
        <v>482.229999999999</v>
      </c>
      <c r="L23" s="3">
        <v>11</v>
      </c>
      <c r="M23" s="3">
        <v>0</v>
      </c>
    </row>
    <row r="24" spans="2:13" x14ac:dyDescent="0.25">
      <c r="B24" s="7">
        <v>45642</v>
      </c>
      <c r="C24" s="6" t="str">
        <v>HENRY</v>
      </c>
      <c r="D24" s="6" t="str">
        <v>PINCKNEY</v>
      </c>
      <c r="E24" s="6">
        <v>54</v>
      </c>
      <c r="F24" s="66">
        <v>1</v>
      </c>
      <c r="G24" s="67">
        <v>0</v>
      </c>
      <c r="H24" s="5">
        <v>27.74</v>
      </c>
      <c r="I24" s="5">
        <v>0</v>
      </c>
      <c r="J24" s="4">
        <v>27.74</v>
      </c>
      <c r="K24" s="4">
        <v>733.5</v>
      </c>
      <c r="L24" s="3">
        <v>25.18</v>
      </c>
      <c r="M24" s="3">
        <v>0</v>
      </c>
    </row>
    <row r="25" spans="2:13" x14ac:dyDescent="0.25">
      <c r="B25" s="7">
        <v>45649</v>
      </c>
      <c r="C25" s="6" t="str">
        <v>HENRY</v>
      </c>
      <c r="D25" s="6" t="str">
        <v>PINCKNEY</v>
      </c>
      <c r="E25" s="6">
        <v>52</v>
      </c>
      <c r="F25" s="66">
        <v>1</v>
      </c>
      <c r="G25" s="67">
        <v>3.5714285714285712E-2</v>
      </c>
      <c r="H25" s="5">
        <v>25.14</v>
      </c>
      <c r="I25" s="5">
        <v>0.42</v>
      </c>
      <c r="J25" s="4">
        <v>24.72</v>
      </c>
      <c r="K25" s="4">
        <v>608.66999999999996</v>
      </c>
      <c r="L25" s="3">
        <v>9.39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38"/>
  <sheetViews>
    <sheetView workbookViewId="0"/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425781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25">
      <c r="A2" s="2">
        <v>45642</v>
      </c>
      <c r="B2" t="s">
        <v>362</v>
      </c>
      <c r="C2" t="s">
        <v>363</v>
      </c>
      <c r="D2">
        <v>28</v>
      </c>
      <c r="E2">
        <v>0.83720930232558144</v>
      </c>
      <c r="F2">
        <v>0</v>
      </c>
      <c r="G2">
        <v>40.08</v>
      </c>
      <c r="H2">
        <v>0.34</v>
      </c>
      <c r="I2">
        <v>39.739999999999995</v>
      </c>
      <c r="J2">
        <v>544.97</v>
      </c>
      <c r="K2">
        <v>22.6</v>
      </c>
      <c r="L2">
        <v>0</v>
      </c>
      <c r="M2" t="s">
        <v>364</v>
      </c>
      <c r="N2">
        <v>5</v>
      </c>
      <c r="O2">
        <v>23</v>
      </c>
      <c r="P2">
        <v>38.19</v>
      </c>
      <c r="Q2">
        <v>2</v>
      </c>
      <c r="R2">
        <v>1.56</v>
      </c>
      <c r="S2">
        <v>17.850000000000001</v>
      </c>
      <c r="T2">
        <v>17.45</v>
      </c>
      <c r="U2">
        <v>0.7</v>
      </c>
      <c r="V2">
        <v>36</v>
      </c>
      <c r="W2">
        <v>5</v>
      </c>
      <c r="X2">
        <v>0</v>
      </c>
      <c r="Y2">
        <v>0</v>
      </c>
      <c r="Z2">
        <v>0</v>
      </c>
      <c r="AA2">
        <v>39.739999999999995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25">
      <c r="A3" s="2">
        <v>45649</v>
      </c>
      <c r="B3" t="s">
        <v>362</v>
      </c>
      <c r="C3" t="s">
        <v>363</v>
      </c>
      <c r="D3">
        <v>15</v>
      </c>
      <c r="E3">
        <v>0.69387755102040816</v>
      </c>
      <c r="F3">
        <v>8.8235294117647065E-2</v>
      </c>
      <c r="G3">
        <v>30.27</v>
      </c>
      <c r="H3">
        <v>0.1</v>
      </c>
      <c r="I3">
        <v>30.169999999999998</v>
      </c>
      <c r="J3">
        <v>138.26999999999899</v>
      </c>
      <c r="K3">
        <v>4</v>
      </c>
      <c r="L3">
        <v>0</v>
      </c>
      <c r="M3" t="s">
        <v>364</v>
      </c>
      <c r="N3">
        <v>1</v>
      </c>
      <c r="O3">
        <v>14</v>
      </c>
      <c r="P3">
        <v>24.43</v>
      </c>
      <c r="Q3">
        <v>1</v>
      </c>
      <c r="R3">
        <v>5.74</v>
      </c>
      <c r="S3">
        <v>17.36</v>
      </c>
      <c r="T3">
        <v>12.53</v>
      </c>
      <c r="U3">
        <v>0.5</v>
      </c>
      <c r="V3">
        <v>34</v>
      </c>
      <c r="W3">
        <v>14</v>
      </c>
      <c r="X3">
        <v>3</v>
      </c>
      <c r="Y3">
        <v>0</v>
      </c>
      <c r="Z3">
        <v>0</v>
      </c>
      <c r="AA3">
        <v>30.169999999999998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0</v>
      </c>
      <c r="AI3" t="s">
        <v>167</v>
      </c>
      <c r="AJ3" t="s">
        <v>48</v>
      </c>
      <c r="AK3">
        <v>0.7</v>
      </c>
    </row>
    <row r="4" spans="1:37" hidden="1" x14ac:dyDescent="0.25">
      <c r="A4" s="2">
        <v>45642</v>
      </c>
      <c r="B4" t="s">
        <v>329</v>
      </c>
      <c r="C4" t="s">
        <v>330</v>
      </c>
      <c r="D4">
        <v>26</v>
      </c>
      <c r="E4">
        <v>1</v>
      </c>
      <c r="F4">
        <v>0</v>
      </c>
      <c r="G4">
        <v>20.079999999999998</v>
      </c>
      <c r="H4">
        <v>0</v>
      </c>
      <c r="I4">
        <v>20.079999999999998</v>
      </c>
      <c r="J4">
        <v>286.83999999999997</v>
      </c>
      <c r="K4">
        <v>12</v>
      </c>
      <c r="L4">
        <v>0</v>
      </c>
      <c r="M4" t="s">
        <v>331</v>
      </c>
      <c r="N4">
        <v>0</v>
      </c>
      <c r="O4">
        <v>26</v>
      </c>
      <c r="P4">
        <v>11.13</v>
      </c>
      <c r="Q4">
        <v>0</v>
      </c>
      <c r="R4">
        <v>8.94</v>
      </c>
      <c r="S4">
        <v>0.68</v>
      </c>
      <c r="T4">
        <v>0.68</v>
      </c>
      <c r="U4">
        <v>1.29</v>
      </c>
      <c r="V4">
        <v>26</v>
      </c>
      <c r="W4">
        <v>0</v>
      </c>
      <c r="X4">
        <v>0</v>
      </c>
      <c r="Y4">
        <v>20.079999999999998</v>
      </c>
      <c r="Z4">
        <v>0</v>
      </c>
      <c r="AA4">
        <v>0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20.079999999999998</v>
      </c>
      <c r="AI4" t="s">
        <v>239</v>
      </c>
      <c r="AJ4" t="s">
        <v>48</v>
      </c>
      <c r="AK4">
        <v>0.7</v>
      </c>
    </row>
    <row r="5" spans="1:37" hidden="1" x14ac:dyDescent="0.25">
      <c r="A5" s="2">
        <v>45649</v>
      </c>
      <c r="B5" t="s">
        <v>329</v>
      </c>
      <c r="C5" t="s">
        <v>330</v>
      </c>
      <c r="D5">
        <v>36</v>
      </c>
      <c r="E5">
        <v>1</v>
      </c>
      <c r="F5">
        <v>0</v>
      </c>
      <c r="G5">
        <v>32.47</v>
      </c>
      <c r="H5">
        <v>0</v>
      </c>
      <c r="I5">
        <v>32.47</v>
      </c>
      <c r="J5">
        <v>336.63</v>
      </c>
      <c r="K5">
        <v>10</v>
      </c>
      <c r="L5">
        <v>0</v>
      </c>
      <c r="M5" t="s">
        <v>331</v>
      </c>
      <c r="N5">
        <v>0</v>
      </c>
      <c r="O5">
        <v>36</v>
      </c>
      <c r="P5">
        <v>14.66</v>
      </c>
      <c r="Q5">
        <v>0</v>
      </c>
      <c r="R5">
        <v>17.809999999999999</v>
      </c>
      <c r="S5">
        <v>11.39</v>
      </c>
      <c r="T5">
        <v>9.06</v>
      </c>
      <c r="U5">
        <v>1.1100000000000001</v>
      </c>
      <c r="V5">
        <v>37</v>
      </c>
      <c r="W5">
        <v>0</v>
      </c>
      <c r="X5">
        <v>0</v>
      </c>
      <c r="Y5">
        <v>32.47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32.47</v>
      </c>
      <c r="AI5" t="s">
        <v>239</v>
      </c>
      <c r="AJ5" t="s">
        <v>48</v>
      </c>
      <c r="AK5">
        <v>0.7</v>
      </c>
    </row>
    <row r="6" spans="1:37" hidden="1" x14ac:dyDescent="0.25">
      <c r="A6" s="2">
        <v>45642</v>
      </c>
      <c r="B6" t="s">
        <v>318</v>
      </c>
      <c r="C6" t="s">
        <v>319</v>
      </c>
      <c r="D6">
        <v>55</v>
      </c>
      <c r="E6">
        <v>1</v>
      </c>
      <c r="F6">
        <v>0</v>
      </c>
      <c r="G6">
        <v>31.44</v>
      </c>
      <c r="H6">
        <v>0</v>
      </c>
      <c r="I6">
        <v>31.44</v>
      </c>
      <c r="J6">
        <v>757.8</v>
      </c>
      <c r="K6">
        <v>35</v>
      </c>
      <c r="L6">
        <v>0</v>
      </c>
      <c r="M6" t="s">
        <v>352</v>
      </c>
      <c r="N6">
        <v>7</v>
      </c>
      <c r="O6">
        <v>48</v>
      </c>
      <c r="P6">
        <v>29.11</v>
      </c>
      <c r="Q6">
        <v>0</v>
      </c>
      <c r="R6">
        <v>2.34</v>
      </c>
      <c r="S6">
        <v>21.74</v>
      </c>
      <c r="T6">
        <v>20.3</v>
      </c>
      <c r="U6">
        <v>1.75</v>
      </c>
      <c r="V6">
        <v>66</v>
      </c>
      <c r="W6">
        <v>0</v>
      </c>
      <c r="X6">
        <v>0</v>
      </c>
      <c r="Y6">
        <v>31.44</v>
      </c>
      <c r="Z6">
        <v>0</v>
      </c>
      <c r="AA6">
        <v>0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31.44</v>
      </c>
      <c r="AI6" t="s">
        <v>168</v>
      </c>
      <c r="AJ6" t="s">
        <v>37</v>
      </c>
      <c r="AK6">
        <v>0.7</v>
      </c>
    </row>
    <row r="7" spans="1:37" hidden="1" x14ac:dyDescent="0.25">
      <c r="A7" s="2">
        <v>45649</v>
      </c>
      <c r="B7" t="s">
        <v>318</v>
      </c>
      <c r="C7" t="s">
        <v>319</v>
      </c>
      <c r="D7">
        <v>63</v>
      </c>
      <c r="E7">
        <v>1</v>
      </c>
      <c r="F7">
        <v>1.4492753623188406E-2</v>
      </c>
      <c r="G7">
        <v>32.17</v>
      </c>
      <c r="H7">
        <v>0</v>
      </c>
      <c r="I7">
        <v>32.17</v>
      </c>
      <c r="J7">
        <v>640.93999999999903</v>
      </c>
      <c r="K7">
        <v>58</v>
      </c>
      <c r="L7">
        <v>0</v>
      </c>
      <c r="M7" t="s">
        <v>352</v>
      </c>
      <c r="N7">
        <v>16</v>
      </c>
      <c r="O7">
        <v>47</v>
      </c>
      <c r="P7">
        <v>29.03</v>
      </c>
      <c r="Q7">
        <v>0</v>
      </c>
      <c r="R7">
        <v>3.14</v>
      </c>
      <c r="S7">
        <v>26.13</v>
      </c>
      <c r="T7">
        <v>24.71</v>
      </c>
      <c r="U7">
        <v>1.96</v>
      </c>
      <c r="V7">
        <v>69</v>
      </c>
      <c r="W7">
        <v>0</v>
      </c>
      <c r="X7">
        <v>1</v>
      </c>
      <c r="Y7">
        <v>32.17</v>
      </c>
      <c r="Z7">
        <v>0</v>
      </c>
      <c r="AA7">
        <v>0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32.17</v>
      </c>
      <c r="AI7" t="s">
        <v>168</v>
      </c>
      <c r="AJ7" t="s">
        <v>37</v>
      </c>
      <c r="AK7">
        <v>0.7</v>
      </c>
    </row>
    <row r="8" spans="1:37" hidden="1" x14ac:dyDescent="0.25">
      <c r="A8" s="2">
        <v>45649</v>
      </c>
      <c r="B8" t="s">
        <v>366</v>
      </c>
      <c r="C8" t="s">
        <v>367</v>
      </c>
      <c r="D8">
        <v>55</v>
      </c>
      <c r="E8">
        <v>0.93939393939393945</v>
      </c>
      <c r="F8">
        <v>1.6129032258064516E-2</v>
      </c>
      <c r="G8">
        <v>36.31</v>
      </c>
      <c r="H8">
        <v>7.0000000000000007E-2</v>
      </c>
      <c r="I8">
        <v>36.24</v>
      </c>
      <c r="J8">
        <v>677.27</v>
      </c>
      <c r="K8">
        <v>74</v>
      </c>
      <c r="L8">
        <v>0</v>
      </c>
      <c r="M8" t="s">
        <v>368</v>
      </c>
      <c r="N8">
        <v>16</v>
      </c>
      <c r="O8">
        <v>39</v>
      </c>
      <c r="P8">
        <v>31.95</v>
      </c>
      <c r="Q8">
        <v>4</v>
      </c>
      <c r="R8">
        <v>4.29</v>
      </c>
      <c r="S8">
        <v>30.92</v>
      </c>
      <c r="T8">
        <v>28.2</v>
      </c>
      <c r="U8">
        <v>1.51</v>
      </c>
      <c r="V8">
        <v>62</v>
      </c>
      <c r="W8">
        <v>0</v>
      </c>
      <c r="X8">
        <v>1</v>
      </c>
      <c r="Y8">
        <v>0</v>
      </c>
      <c r="Z8">
        <v>0</v>
      </c>
      <c r="AA8">
        <v>36.24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323</v>
      </c>
      <c r="AJ8" t="s">
        <v>65</v>
      </c>
      <c r="AK8">
        <v>0.7</v>
      </c>
    </row>
    <row r="9" spans="1:37" hidden="1" x14ac:dyDescent="0.25">
      <c r="A9" s="2">
        <v>45642</v>
      </c>
      <c r="B9" t="s">
        <v>309</v>
      </c>
      <c r="C9" t="s">
        <v>310</v>
      </c>
      <c r="D9">
        <v>54</v>
      </c>
      <c r="E9">
        <v>0.98484848484848486</v>
      </c>
      <c r="F9">
        <v>0.1076923076923077</v>
      </c>
      <c r="G9">
        <v>29.31</v>
      </c>
      <c r="H9">
        <v>0.19</v>
      </c>
      <c r="I9">
        <v>29.119999999999997</v>
      </c>
      <c r="J9">
        <v>726.51</v>
      </c>
      <c r="K9">
        <v>16</v>
      </c>
      <c r="L9">
        <v>0</v>
      </c>
      <c r="M9" t="s">
        <v>333</v>
      </c>
      <c r="N9">
        <v>4</v>
      </c>
      <c r="O9">
        <v>50</v>
      </c>
      <c r="P9">
        <v>27.39</v>
      </c>
      <c r="Q9">
        <v>1</v>
      </c>
      <c r="R9">
        <v>1.72</v>
      </c>
      <c r="S9">
        <v>19.59</v>
      </c>
      <c r="T9">
        <v>17.87</v>
      </c>
      <c r="U9">
        <v>1.84</v>
      </c>
      <c r="V9">
        <v>65</v>
      </c>
      <c r="W9">
        <v>0</v>
      </c>
      <c r="X9">
        <v>7</v>
      </c>
      <c r="Y9">
        <v>0</v>
      </c>
      <c r="Z9">
        <v>0</v>
      </c>
      <c r="AA9">
        <v>29.119999999999997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170</v>
      </c>
      <c r="AJ9" t="s">
        <v>37</v>
      </c>
      <c r="AK9">
        <v>0.7</v>
      </c>
    </row>
    <row r="10" spans="1:37" hidden="1" x14ac:dyDescent="0.25">
      <c r="A10" s="2">
        <v>45649</v>
      </c>
      <c r="B10" t="s">
        <v>309</v>
      </c>
      <c r="C10" t="s">
        <v>310</v>
      </c>
      <c r="D10">
        <v>47</v>
      </c>
      <c r="E10">
        <v>0.9821428571428571</v>
      </c>
      <c r="F10">
        <v>0.10909090909090909</v>
      </c>
      <c r="G10">
        <v>23.65</v>
      </c>
      <c r="H10">
        <v>0.11</v>
      </c>
      <c r="I10">
        <v>23.54</v>
      </c>
      <c r="J10">
        <v>483.17999999999898</v>
      </c>
      <c r="K10">
        <v>14</v>
      </c>
      <c r="L10">
        <v>0</v>
      </c>
      <c r="M10" t="s">
        <v>333</v>
      </c>
      <c r="N10">
        <v>7</v>
      </c>
      <c r="O10">
        <v>40</v>
      </c>
      <c r="P10">
        <v>21.52</v>
      </c>
      <c r="Q10">
        <v>1</v>
      </c>
      <c r="R10">
        <v>2.02</v>
      </c>
      <c r="S10">
        <v>14.35</v>
      </c>
      <c r="T10">
        <v>12.96</v>
      </c>
      <c r="U10">
        <v>1.99</v>
      </c>
      <c r="V10">
        <v>55</v>
      </c>
      <c r="W10">
        <v>0</v>
      </c>
      <c r="X10">
        <v>6</v>
      </c>
      <c r="Y10">
        <v>0</v>
      </c>
      <c r="Z10">
        <v>0</v>
      </c>
      <c r="AA10">
        <v>23.54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0</v>
      </c>
      <c r="AI10" t="s">
        <v>170</v>
      </c>
      <c r="AJ10" t="s">
        <v>37</v>
      </c>
      <c r="AK10">
        <v>0.7</v>
      </c>
    </row>
    <row r="11" spans="1:37" hidden="1" x14ac:dyDescent="0.25">
      <c r="A11" s="2">
        <v>45642</v>
      </c>
      <c r="B11" t="s">
        <v>326</v>
      </c>
      <c r="C11" t="s">
        <v>327</v>
      </c>
      <c r="D11">
        <v>51</v>
      </c>
      <c r="E11">
        <v>1</v>
      </c>
      <c r="F11">
        <v>3.125E-2</v>
      </c>
      <c r="G11">
        <v>23.63</v>
      </c>
      <c r="H11">
        <v>0</v>
      </c>
      <c r="I11">
        <v>23.63</v>
      </c>
      <c r="J11">
        <v>557.66</v>
      </c>
      <c r="K11">
        <v>9</v>
      </c>
      <c r="L11">
        <v>0</v>
      </c>
      <c r="M11" t="s">
        <v>328</v>
      </c>
      <c r="N11">
        <v>0</v>
      </c>
      <c r="O11">
        <v>51</v>
      </c>
      <c r="P11">
        <v>22.86</v>
      </c>
      <c r="Q11">
        <v>0</v>
      </c>
      <c r="R11">
        <v>0.77</v>
      </c>
      <c r="S11">
        <v>12.02</v>
      </c>
      <c r="T11">
        <v>11.58</v>
      </c>
      <c r="U11">
        <v>2.16</v>
      </c>
      <c r="V11">
        <v>64</v>
      </c>
      <c r="W11">
        <v>0</v>
      </c>
      <c r="X11">
        <v>2</v>
      </c>
      <c r="Y11">
        <v>23.63</v>
      </c>
      <c r="Z11">
        <v>0</v>
      </c>
      <c r="AA11">
        <v>0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23.63</v>
      </c>
      <c r="AI11" t="s">
        <v>171</v>
      </c>
      <c r="AJ11" t="s">
        <v>34</v>
      </c>
      <c r="AK11">
        <v>0.7</v>
      </c>
    </row>
    <row r="12" spans="1:37" hidden="1" x14ac:dyDescent="0.25">
      <c r="A12" s="2">
        <v>45649</v>
      </c>
      <c r="B12" t="s">
        <v>326</v>
      </c>
      <c r="C12" t="s">
        <v>327</v>
      </c>
      <c r="D12">
        <v>59</v>
      </c>
      <c r="E12">
        <v>1</v>
      </c>
      <c r="F12">
        <v>0</v>
      </c>
      <c r="G12">
        <v>24.35</v>
      </c>
      <c r="H12">
        <v>0</v>
      </c>
      <c r="I12">
        <v>24.35</v>
      </c>
      <c r="J12">
        <v>515.36</v>
      </c>
      <c r="K12">
        <v>70</v>
      </c>
      <c r="L12">
        <v>0</v>
      </c>
      <c r="M12" t="s">
        <v>328</v>
      </c>
      <c r="N12">
        <v>0</v>
      </c>
      <c r="O12">
        <v>59</v>
      </c>
      <c r="P12">
        <v>22.59</v>
      </c>
      <c r="Q12">
        <v>0</v>
      </c>
      <c r="R12">
        <v>1.75</v>
      </c>
      <c r="S12">
        <v>0</v>
      </c>
      <c r="T12">
        <v>0</v>
      </c>
      <c r="U12">
        <v>2.42</v>
      </c>
      <c r="V12">
        <v>68</v>
      </c>
      <c r="W12">
        <v>0</v>
      </c>
      <c r="X12">
        <v>0</v>
      </c>
      <c r="Y12">
        <v>24.35</v>
      </c>
      <c r="Z12">
        <v>0</v>
      </c>
      <c r="AA12">
        <v>0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24.35</v>
      </c>
      <c r="AI12" t="s">
        <v>171</v>
      </c>
      <c r="AJ12" t="s">
        <v>34</v>
      </c>
      <c r="AK12">
        <v>0.7</v>
      </c>
    </row>
    <row r="13" spans="1:37" hidden="1" x14ac:dyDescent="0.25">
      <c r="A13" s="2">
        <v>45642</v>
      </c>
      <c r="B13" t="s">
        <v>335</v>
      </c>
      <c r="C13" t="s">
        <v>336</v>
      </c>
      <c r="D13">
        <v>107</v>
      </c>
      <c r="E13">
        <v>1</v>
      </c>
      <c r="F13">
        <v>8.1967213114754103E-3</v>
      </c>
      <c r="G13">
        <v>52.01</v>
      </c>
      <c r="H13">
        <v>0</v>
      </c>
      <c r="I13">
        <v>52.01</v>
      </c>
      <c r="J13">
        <v>1174.1899999999901</v>
      </c>
      <c r="K13">
        <v>37.380000000000003</v>
      </c>
      <c r="L13">
        <v>0</v>
      </c>
      <c r="M13" t="s">
        <v>337</v>
      </c>
      <c r="N13">
        <v>25</v>
      </c>
      <c r="O13">
        <v>82</v>
      </c>
      <c r="P13">
        <v>47.07</v>
      </c>
      <c r="Q13">
        <v>0</v>
      </c>
      <c r="R13">
        <v>4.93</v>
      </c>
      <c r="S13">
        <v>2.96</v>
      </c>
      <c r="T13">
        <v>2.69</v>
      </c>
      <c r="U13">
        <v>2.06</v>
      </c>
      <c r="V13">
        <v>122</v>
      </c>
      <c r="W13">
        <v>0</v>
      </c>
      <c r="X13">
        <v>1</v>
      </c>
      <c r="Y13">
        <v>52.01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52.01</v>
      </c>
      <c r="AI13" t="s">
        <v>172</v>
      </c>
      <c r="AJ13" t="s">
        <v>48</v>
      </c>
      <c r="AK13">
        <v>0.7</v>
      </c>
    </row>
    <row r="14" spans="1:37" hidden="1" x14ac:dyDescent="0.25">
      <c r="A14" s="2">
        <v>45649</v>
      </c>
      <c r="B14" t="s">
        <v>335</v>
      </c>
      <c r="C14" t="s">
        <v>336</v>
      </c>
      <c r="D14">
        <v>85</v>
      </c>
      <c r="E14">
        <v>1</v>
      </c>
      <c r="F14">
        <v>9.3457943925233638E-3</v>
      </c>
      <c r="G14">
        <v>50.58</v>
      </c>
      <c r="H14">
        <v>0</v>
      </c>
      <c r="I14">
        <v>50.58</v>
      </c>
      <c r="J14">
        <v>924.25</v>
      </c>
      <c r="K14">
        <v>8.7799999999999994</v>
      </c>
      <c r="L14">
        <v>0</v>
      </c>
      <c r="M14" t="s">
        <v>337</v>
      </c>
      <c r="N14">
        <v>16</v>
      </c>
      <c r="O14">
        <v>69</v>
      </c>
      <c r="P14">
        <v>41.98</v>
      </c>
      <c r="Q14">
        <v>0</v>
      </c>
      <c r="R14">
        <v>8.59</v>
      </c>
      <c r="S14">
        <v>6.94</v>
      </c>
      <c r="T14">
        <v>6.14</v>
      </c>
      <c r="U14">
        <v>1.68</v>
      </c>
      <c r="V14">
        <v>107</v>
      </c>
      <c r="W14">
        <v>0</v>
      </c>
      <c r="X14">
        <v>1</v>
      </c>
      <c r="Y14">
        <v>50.58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50.58</v>
      </c>
      <c r="AI14" t="s">
        <v>172</v>
      </c>
      <c r="AJ14" t="s">
        <v>48</v>
      </c>
      <c r="AK14">
        <v>0.7</v>
      </c>
    </row>
    <row r="15" spans="1:37" hidden="1" x14ac:dyDescent="0.25">
      <c r="A15" s="2">
        <v>45642</v>
      </c>
      <c r="B15" t="s">
        <v>311</v>
      </c>
      <c r="C15" t="s">
        <v>312</v>
      </c>
      <c r="D15">
        <v>55</v>
      </c>
      <c r="E15">
        <v>1</v>
      </c>
      <c r="F15">
        <v>3.5714285714285712E-2</v>
      </c>
      <c r="G15">
        <v>29.15</v>
      </c>
      <c r="H15">
        <v>0.02</v>
      </c>
      <c r="I15">
        <v>29.13</v>
      </c>
      <c r="J15">
        <v>580.85999999999899</v>
      </c>
      <c r="K15">
        <v>33</v>
      </c>
      <c r="L15">
        <v>0</v>
      </c>
      <c r="M15" t="s">
        <v>332</v>
      </c>
      <c r="N15">
        <v>5</v>
      </c>
      <c r="O15">
        <v>50</v>
      </c>
      <c r="P15">
        <v>23.72</v>
      </c>
      <c r="Q15">
        <v>0</v>
      </c>
      <c r="R15">
        <v>5.4</v>
      </c>
      <c r="S15">
        <v>4.8899999999999997</v>
      </c>
      <c r="T15">
        <v>4.82</v>
      </c>
      <c r="U15">
        <v>1.89</v>
      </c>
      <c r="V15">
        <v>56</v>
      </c>
      <c r="W15">
        <v>0</v>
      </c>
      <c r="X15">
        <v>2</v>
      </c>
      <c r="Y15">
        <v>29.13</v>
      </c>
      <c r="Z15">
        <v>0</v>
      </c>
      <c r="AA15">
        <v>0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29.13</v>
      </c>
      <c r="AI15" t="s">
        <v>174</v>
      </c>
      <c r="AJ15" t="s">
        <v>37</v>
      </c>
      <c r="AK15">
        <v>0.7</v>
      </c>
    </row>
    <row r="16" spans="1:37" hidden="1" x14ac:dyDescent="0.25">
      <c r="A16" s="2">
        <v>45649</v>
      </c>
      <c r="B16" t="s">
        <v>311</v>
      </c>
      <c r="C16" t="s">
        <v>312</v>
      </c>
      <c r="D16">
        <v>64</v>
      </c>
      <c r="E16">
        <v>1</v>
      </c>
      <c r="F16">
        <v>0</v>
      </c>
      <c r="G16">
        <v>36.380000000000003</v>
      </c>
      <c r="H16">
        <v>2.75</v>
      </c>
      <c r="I16">
        <v>33.630000000000003</v>
      </c>
      <c r="J16">
        <v>628.56999999999903</v>
      </c>
      <c r="K16">
        <v>22</v>
      </c>
      <c r="L16">
        <v>0</v>
      </c>
      <c r="M16" t="s">
        <v>332</v>
      </c>
      <c r="N16">
        <v>7</v>
      </c>
      <c r="O16">
        <v>57</v>
      </c>
      <c r="P16">
        <v>27.53</v>
      </c>
      <c r="Q16">
        <v>0</v>
      </c>
      <c r="R16">
        <v>6.09</v>
      </c>
      <c r="S16">
        <v>24.26</v>
      </c>
      <c r="T16">
        <v>18.27</v>
      </c>
      <c r="U16">
        <v>1.76</v>
      </c>
      <c r="V16">
        <v>67</v>
      </c>
      <c r="W16">
        <v>0</v>
      </c>
      <c r="X16">
        <v>0</v>
      </c>
      <c r="Y16">
        <v>33.630000000000003</v>
      </c>
      <c r="Z16">
        <v>0</v>
      </c>
      <c r="AA16">
        <v>0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33.630000000000003</v>
      </c>
      <c r="AI16" t="s">
        <v>174</v>
      </c>
      <c r="AJ16" t="s">
        <v>37</v>
      </c>
      <c r="AK16">
        <v>0.7</v>
      </c>
    </row>
    <row r="17" spans="1:37" hidden="1" x14ac:dyDescent="0.25">
      <c r="A17" s="2">
        <v>45642</v>
      </c>
      <c r="B17" t="s">
        <v>339</v>
      </c>
      <c r="C17" t="s">
        <v>340</v>
      </c>
      <c r="D17">
        <v>86</v>
      </c>
      <c r="E17">
        <v>1</v>
      </c>
      <c r="F17">
        <v>1.098901098901099E-2</v>
      </c>
      <c r="G17">
        <v>35.9</v>
      </c>
      <c r="H17">
        <v>0</v>
      </c>
      <c r="I17">
        <v>35.9</v>
      </c>
      <c r="J17">
        <v>794.14</v>
      </c>
      <c r="K17">
        <v>28</v>
      </c>
      <c r="L17">
        <v>0</v>
      </c>
      <c r="M17" t="s">
        <v>341</v>
      </c>
      <c r="N17">
        <v>0</v>
      </c>
      <c r="O17">
        <v>86</v>
      </c>
      <c r="P17">
        <v>32.72</v>
      </c>
      <c r="Q17">
        <v>0</v>
      </c>
      <c r="R17">
        <v>3.18</v>
      </c>
      <c r="S17">
        <v>0</v>
      </c>
      <c r="T17">
        <v>0</v>
      </c>
      <c r="U17">
        <v>2.4</v>
      </c>
      <c r="V17">
        <v>91</v>
      </c>
      <c r="W17">
        <v>0</v>
      </c>
      <c r="X17">
        <v>1</v>
      </c>
      <c r="Y17">
        <v>35.9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35.9</v>
      </c>
      <c r="AI17" t="s">
        <v>175</v>
      </c>
      <c r="AJ17" t="s">
        <v>48</v>
      </c>
      <c r="AK17">
        <v>0.7</v>
      </c>
    </row>
    <row r="18" spans="1:37" hidden="1" x14ac:dyDescent="0.25">
      <c r="A18" s="2">
        <v>45649</v>
      </c>
      <c r="B18" t="s">
        <v>339</v>
      </c>
      <c r="C18" t="s">
        <v>340</v>
      </c>
      <c r="D18">
        <v>122</v>
      </c>
      <c r="E18">
        <v>1</v>
      </c>
      <c r="F18">
        <v>1.5267175572519083E-2</v>
      </c>
      <c r="G18">
        <v>51.09</v>
      </c>
      <c r="H18">
        <v>0</v>
      </c>
      <c r="I18">
        <v>51.09</v>
      </c>
      <c r="J18">
        <v>1000.18</v>
      </c>
      <c r="K18">
        <v>34.909999999999997</v>
      </c>
      <c r="L18">
        <v>0</v>
      </c>
      <c r="M18" t="s">
        <v>341</v>
      </c>
      <c r="N18">
        <v>0</v>
      </c>
      <c r="O18">
        <v>122</v>
      </c>
      <c r="P18">
        <v>43.24</v>
      </c>
      <c r="Q18">
        <v>0</v>
      </c>
      <c r="R18">
        <v>7.85</v>
      </c>
      <c r="S18">
        <v>8.44</v>
      </c>
      <c r="T18">
        <v>8.08</v>
      </c>
      <c r="U18">
        <v>2.39</v>
      </c>
      <c r="V18">
        <v>131</v>
      </c>
      <c r="W18">
        <v>0</v>
      </c>
      <c r="X18">
        <v>2</v>
      </c>
      <c r="Y18">
        <v>51.09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51.09</v>
      </c>
      <c r="AI18" t="s">
        <v>175</v>
      </c>
      <c r="AJ18" t="s">
        <v>48</v>
      </c>
      <c r="AK18">
        <v>0.7</v>
      </c>
    </row>
    <row r="19" spans="1:37" hidden="1" x14ac:dyDescent="0.25">
      <c r="A19" s="2">
        <v>45642</v>
      </c>
      <c r="B19" t="s">
        <v>353</v>
      </c>
      <c r="C19" t="s">
        <v>354</v>
      </c>
      <c r="D19">
        <v>63</v>
      </c>
      <c r="E19">
        <v>0.94366197183098588</v>
      </c>
      <c r="F19">
        <v>0</v>
      </c>
      <c r="G19">
        <v>39.72</v>
      </c>
      <c r="H19">
        <v>0.77</v>
      </c>
      <c r="I19">
        <v>38.949999999999996</v>
      </c>
      <c r="J19">
        <v>657.97</v>
      </c>
      <c r="K19">
        <v>8</v>
      </c>
      <c r="L19">
        <v>0</v>
      </c>
      <c r="M19" t="s">
        <v>355</v>
      </c>
      <c r="N19">
        <v>3</v>
      </c>
      <c r="O19">
        <v>60</v>
      </c>
      <c r="P19">
        <v>26.44</v>
      </c>
      <c r="Q19">
        <v>4</v>
      </c>
      <c r="R19">
        <v>12.51</v>
      </c>
      <c r="S19">
        <v>2.33</v>
      </c>
      <c r="T19">
        <v>2.25</v>
      </c>
      <c r="U19">
        <v>1.59</v>
      </c>
      <c r="V19">
        <v>67</v>
      </c>
      <c r="W19">
        <v>0</v>
      </c>
      <c r="X19">
        <v>0</v>
      </c>
      <c r="Y19">
        <v>0</v>
      </c>
      <c r="Z19">
        <v>0</v>
      </c>
      <c r="AA19">
        <v>38.949999999999996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0</v>
      </c>
      <c r="AI19" t="s">
        <v>176</v>
      </c>
      <c r="AJ19" t="s">
        <v>65</v>
      </c>
      <c r="AK19">
        <v>0.7</v>
      </c>
    </row>
    <row r="20" spans="1:37" hidden="1" x14ac:dyDescent="0.25">
      <c r="A20" s="2">
        <v>45649</v>
      </c>
      <c r="B20" t="s">
        <v>353</v>
      </c>
      <c r="C20" t="s">
        <v>354</v>
      </c>
      <c r="D20">
        <v>70</v>
      </c>
      <c r="E20">
        <v>0.98666666666666669</v>
      </c>
      <c r="F20">
        <v>1.3513513513513514E-2</v>
      </c>
      <c r="G20">
        <v>50.14</v>
      </c>
      <c r="H20">
        <v>0.89</v>
      </c>
      <c r="I20">
        <v>49.25</v>
      </c>
      <c r="J20">
        <v>774.33</v>
      </c>
      <c r="K20">
        <v>35.81</v>
      </c>
      <c r="L20">
        <v>0</v>
      </c>
      <c r="M20" t="s">
        <v>355</v>
      </c>
      <c r="N20">
        <v>8</v>
      </c>
      <c r="O20">
        <v>62</v>
      </c>
      <c r="P20">
        <v>30.34</v>
      </c>
      <c r="Q20">
        <v>1</v>
      </c>
      <c r="R20">
        <v>18.91</v>
      </c>
      <c r="S20">
        <v>2.81</v>
      </c>
      <c r="T20">
        <v>2.46</v>
      </c>
      <c r="U20">
        <v>1.4</v>
      </c>
      <c r="V20">
        <v>74</v>
      </c>
      <c r="W20">
        <v>0</v>
      </c>
      <c r="X20">
        <v>1</v>
      </c>
      <c r="Y20">
        <v>49.25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49.25</v>
      </c>
      <c r="AI20" t="s">
        <v>176</v>
      </c>
      <c r="AJ20" t="s">
        <v>65</v>
      </c>
      <c r="AK20">
        <v>0.7</v>
      </c>
    </row>
    <row r="21" spans="1:37" hidden="1" x14ac:dyDescent="0.25">
      <c r="A21" s="2">
        <v>45642</v>
      </c>
      <c r="B21" t="s">
        <v>313</v>
      </c>
      <c r="C21" t="s">
        <v>314</v>
      </c>
      <c r="D21">
        <v>45</v>
      </c>
      <c r="E21">
        <v>0.97916666666666663</v>
      </c>
      <c r="F21">
        <v>4.2553191489361701E-2</v>
      </c>
      <c r="G21">
        <v>22.75</v>
      </c>
      <c r="H21">
        <v>0.01</v>
      </c>
      <c r="I21">
        <v>22.74</v>
      </c>
      <c r="J21">
        <v>488.54</v>
      </c>
      <c r="K21">
        <v>15</v>
      </c>
      <c r="L21">
        <v>0</v>
      </c>
      <c r="M21" t="s">
        <v>334</v>
      </c>
      <c r="N21">
        <v>0</v>
      </c>
      <c r="O21">
        <v>45</v>
      </c>
      <c r="P21">
        <v>20.38</v>
      </c>
      <c r="Q21">
        <v>1</v>
      </c>
      <c r="R21">
        <v>2.36</v>
      </c>
      <c r="S21">
        <v>20.3</v>
      </c>
      <c r="T21">
        <v>18.850000000000001</v>
      </c>
      <c r="U21">
        <v>1.98</v>
      </c>
      <c r="V21">
        <v>47</v>
      </c>
      <c r="W21">
        <v>0</v>
      </c>
      <c r="X21">
        <v>2</v>
      </c>
      <c r="Y21">
        <v>0</v>
      </c>
      <c r="Z21">
        <v>0</v>
      </c>
      <c r="AA21">
        <v>22.74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0</v>
      </c>
      <c r="AI21" t="s">
        <v>177</v>
      </c>
      <c r="AJ21" t="s">
        <v>37</v>
      </c>
      <c r="AK21">
        <v>0.7</v>
      </c>
    </row>
    <row r="22" spans="1:37" hidden="1" x14ac:dyDescent="0.25">
      <c r="A22" s="2">
        <v>45649</v>
      </c>
      <c r="B22" t="s">
        <v>313</v>
      </c>
      <c r="C22" t="s">
        <v>314</v>
      </c>
      <c r="D22">
        <v>20</v>
      </c>
      <c r="E22">
        <v>1</v>
      </c>
      <c r="F22">
        <v>0</v>
      </c>
      <c r="G22">
        <v>17.850000000000001</v>
      </c>
      <c r="H22">
        <v>0.13</v>
      </c>
      <c r="I22">
        <v>17.720000000000002</v>
      </c>
      <c r="J22">
        <v>214.13</v>
      </c>
      <c r="K22">
        <v>6</v>
      </c>
      <c r="L22">
        <v>0</v>
      </c>
      <c r="M22" t="s">
        <v>334</v>
      </c>
      <c r="N22">
        <v>2</v>
      </c>
      <c r="O22">
        <v>18</v>
      </c>
      <c r="P22">
        <v>10.25</v>
      </c>
      <c r="Q22">
        <v>0</v>
      </c>
      <c r="R22">
        <v>7.47</v>
      </c>
      <c r="S22">
        <v>6</v>
      </c>
      <c r="T22">
        <v>4.3899999999999997</v>
      </c>
      <c r="U22">
        <v>1.1200000000000001</v>
      </c>
      <c r="V22">
        <v>20</v>
      </c>
      <c r="W22">
        <v>0</v>
      </c>
      <c r="X22">
        <v>0</v>
      </c>
      <c r="Y22">
        <v>17.720000000000002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17.720000000000002</v>
      </c>
      <c r="AI22" t="s">
        <v>177</v>
      </c>
      <c r="AJ22" t="s">
        <v>37</v>
      </c>
      <c r="AK22">
        <v>0.7</v>
      </c>
    </row>
    <row r="23" spans="1:37" hidden="1" x14ac:dyDescent="0.25">
      <c r="A23" s="2">
        <v>45642</v>
      </c>
      <c r="B23" t="s">
        <v>343</v>
      </c>
      <c r="C23" t="s">
        <v>344</v>
      </c>
      <c r="D23">
        <v>34</v>
      </c>
      <c r="E23">
        <v>0.96</v>
      </c>
      <c r="F23">
        <v>0</v>
      </c>
      <c r="G23">
        <v>19.7</v>
      </c>
      <c r="H23">
        <v>0</v>
      </c>
      <c r="I23">
        <v>19.7</v>
      </c>
      <c r="J23">
        <v>354.34</v>
      </c>
      <c r="K23">
        <v>0</v>
      </c>
      <c r="L23">
        <v>0</v>
      </c>
      <c r="M23" t="s">
        <v>345</v>
      </c>
      <c r="N23">
        <v>2</v>
      </c>
      <c r="O23">
        <v>32</v>
      </c>
      <c r="P23">
        <v>13.81</v>
      </c>
      <c r="Q23">
        <v>0</v>
      </c>
      <c r="R23">
        <v>5.9</v>
      </c>
      <c r="S23">
        <v>11.8</v>
      </c>
      <c r="T23">
        <v>9.83</v>
      </c>
      <c r="U23">
        <v>1.73</v>
      </c>
      <c r="V23">
        <v>24</v>
      </c>
      <c r="W23">
        <v>1</v>
      </c>
      <c r="X23">
        <v>0</v>
      </c>
      <c r="Y23">
        <v>19.7</v>
      </c>
      <c r="Z23">
        <v>0</v>
      </c>
      <c r="AA23">
        <v>0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19.7</v>
      </c>
      <c r="AI23" t="s">
        <v>178</v>
      </c>
      <c r="AJ23" t="s">
        <v>48</v>
      </c>
      <c r="AK23">
        <v>0.7</v>
      </c>
    </row>
    <row r="24" spans="1:37" hidden="1" x14ac:dyDescent="0.25">
      <c r="A24" s="2">
        <v>45649</v>
      </c>
      <c r="B24" t="s">
        <v>343</v>
      </c>
      <c r="C24" t="s">
        <v>344</v>
      </c>
      <c r="D24">
        <v>16</v>
      </c>
      <c r="E24">
        <v>1</v>
      </c>
      <c r="F24">
        <v>0</v>
      </c>
      <c r="G24">
        <v>7.53</v>
      </c>
      <c r="H24">
        <v>0</v>
      </c>
      <c r="I24">
        <v>7.53</v>
      </c>
      <c r="J24">
        <v>117.369999999999</v>
      </c>
      <c r="K24">
        <v>1</v>
      </c>
      <c r="L24">
        <v>0</v>
      </c>
      <c r="M24" t="s">
        <v>345</v>
      </c>
      <c r="N24">
        <v>0</v>
      </c>
      <c r="O24">
        <v>16</v>
      </c>
      <c r="P24">
        <v>4.49</v>
      </c>
      <c r="Q24">
        <v>0</v>
      </c>
      <c r="R24">
        <v>3.04</v>
      </c>
      <c r="S24">
        <v>0</v>
      </c>
      <c r="T24">
        <v>0</v>
      </c>
      <c r="U24">
        <v>2.12</v>
      </c>
      <c r="V24">
        <v>14</v>
      </c>
      <c r="W24">
        <v>0</v>
      </c>
      <c r="X24">
        <v>0</v>
      </c>
      <c r="Y24">
        <v>7.53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7.53</v>
      </c>
      <c r="AI24" t="s">
        <v>178</v>
      </c>
      <c r="AJ24" t="s">
        <v>48</v>
      </c>
      <c r="AK24">
        <v>0.7</v>
      </c>
    </row>
    <row r="25" spans="1:37" hidden="1" x14ac:dyDescent="0.25">
      <c r="A25" s="2">
        <v>45642</v>
      </c>
      <c r="B25" t="s">
        <v>346</v>
      </c>
      <c r="C25" t="s">
        <v>347</v>
      </c>
      <c r="D25">
        <v>49</v>
      </c>
      <c r="E25">
        <v>1</v>
      </c>
      <c r="F25">
        <v>0</v>
      </c>
      <c r="G25">
        <v>41.11</v>
      </c>
      <c r="H25">
        <v>0.01</v>
      </c>
      <c r="I25">
        <v>41.1</v>
      </c>
      <c r="J25">
        <v>536.05999999999995</v>
      </c>
      <c r="K25">
        <v>39.5</v>
      </c>
      <c r="L25">
        <v>0</v>
      </c>
      <c r="M25" t="s">
        <v>348</v>
      </c>
      <c r="N25">
        <v>4</v>
      </c>
      <c r="O25">
        <v>45</v>
      </c>
      <c r="P25">
        <v>21.83</v>
      </c>
      <c r="Q25">
        <v>0</v>
      </c>
      <c r="R25">
        <v>19.27</v>
      </c>
      <c r="S25">
        <v>12.06</v>
      </c>
      <c r="T25">
        <v>10.34</v>
      </c>
      <c r="U25">
        <v>1.19</v>
      </c>
      <c r="V25">
        <v>51</v>
      </c>
      <c r="W25">
        <v>0</v>
      </c>
      <c r="X25">
        <v>0</v>
      </c>
      <c r="Y25">
        <v>41.1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41.1</v>
      </c>
      <c r="AI25" t="s">
        <v>180</v>
      </c>
      <c r="AJ25" t="s">
        <v>48</v>
      </c>
      <c r="AK25">
        <v>0.7</v>
      </c>
    </row>
    <row r="26" spans="1:37" hidden="1" x14ac:dyDescent="0.25">
      <c r="A26" s="2">
        <v>45649</v>
      </c>
      <c r="B26" t="s">
        <v>346</v>
      </c>
      <c r="C26" t="s">
        <v>347</v>
      </c>
      <c r="D26">
        <v>82</v>
      </c>
      <c r="E26">
        <v>1</v>
      </c>
      <c r="F26">
        <v>2.247191011235955E-2</v>
      </c>
      <c r="G26">
        <v>46.1</v>
      </c>
      <c r="H26">
        <v>0.02</v>
      </c>
      <c r="I26">
        <v>46.08</v>
      </c>
      <c r="J26">
        <v>514.08999999999901</v>
      </c>
      <c r="K26">
        <v>62.5</v>
      </c>
      <c r="L26">
        <v>0</v>
      </c>
      <c r="M26" t="s">
        <v>348</v>
      </c>
      <c r="N26">
        <v>0</v>
      </c>
      <c r="O26">
        <v>82</v>
      </c>
      <c r="P26">
        <v>23.94</v>
      </c>
      <c r="Q26">
        <v>0</v>
      </c>
      <c r="R26">
        <v>22.14</v>
      </c>
      <c r="S26">
        <v>13.31</v>
      </c>
      <c r="T26">
        <v>8.31</v>
      </c>
      <c r="U26">
        <v>1.78</v>
      </c>
      <c r="V26">
        <v>89</v>
      </c>
      <c r="W26">
        <v>0</v>
      </c>
      <c r="X26">
        <v>2</v>
      </c>
      <c r="Y26">
        <v>46.08</v>
      </c>
      <c r="Z26">
        <v>0</v>
      </c>
      <c r="AA26">
        <v>0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46.08</v>
      </c>
      <c r="AI26" t="s">
        <v>180</v>
      </c>
      <c r="AJ26" t="s">
        <v>48</v>
      </c>
      <c r="AK26">
        <v>0.7</v>
      </c>
    </row>
    <row r="27" spans="1:37" hidden="1" x14ac:dyDescent="0.25">
      <c r="A27" s="2">
        <v>45642</v>
      </c>
      <c r="B27" t="s">
        <v>320</v>
      </c>
      <c r="C27" t="s">
        <v>321</v>
      </c>
      <c r="D27">
        <v>54</v>
      </c>
      <c r="E27">
        <v>0.97142857142857142</v>
      </c>
      <c r="F27">
        <v>2.9411764705882353E-2</v>
      </c>
      <c r="G27">
        <v>25.55</v>
      </c>
      <c r="H27">
        <v>0.05</v>
      </c>
      <c r="I27">
        <v>25.5</v>
      </c>
      <c r="J27">
        <v>551.91</v>
      </c>
      <c r="K27">
        <v>18.05</v>
      </c>
      <c r="L27">
        <v>0</v>
      </c>
      <c r="M27" t="s">
        <v>365</v>
      </c>
      <c r="N27">
        <v>0</v>
      </c>
      <c r="O27">
        <v>54</v>
      </c>
      <c r="P27">
        <v>24</v>
      </c>
      <c r="Q27">
        <v>2</v>
      </c>
      <c r="R27">
        <v>1.5</v>
      </c>
      <c r="S27">
        <v>0</v>
      </c>
      <c r="T27">
        <v>0</v>
      </c>
      <c r="U27">
        <v>2.11</v>
      </c>
      <c r="V27">
        <v>68</v>
      </c>
      <c r="W27">
        <v>0</v>
      </c>
      <c r="X27">
        <v>2</v>
      </c>
      <c r="Y27">
        <v>25.5</v>
      </c>
      <c r="Z27">
        <v>0</v>
      </c>
      <c r="AA27">
        <v>0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25.5</v>
      </c>
      <c r="AI27" t="s">
        <v>182</v>
      </c>
      <c r="AJ27" t="s">
        <v>37</v>
      </c>
      <c r="AK27">
        <v>0.7</v>
      </c>
    </row>
    <row r="28" spans="1:37" hidden="1" x14ac:dyDescent="0.25">
      <c r="A28" s="2">
        <v>45649</v>
      </c>
      <c r="B28" t="s">
        <v>320</v>
      </c>
      <c r="C28" t="s">
        <v>321</v>
      </c>
      <c r="D28">
        <v>85</v>
      </c>
      <c r="E28">
        <v>0.97058823529411764</v>
      </c>
      <c r="F28">
        <v>2.0202020202020204E-2</v>
      </c>
      <c r="G28">
        <v>40.090000000000003</v>
      </c>
      <c r="H28">
        <v>7.0000000000000007E-2</v>
      </c>
      <c r="I28">
        <v>40.020000000000003</v>
      </c>
      <c r="J28">
        <v>853.44999999999902</v>
      </c>
      <c r="K28">
        <v>20</v>
      </c>
      <c r="L28">
        <v>0</v>
      </c>
      <c r="M28" t="s">
        <v>365</v>
      </c>
      <c r="N28">
        <v>4</v>
      </c>
      <c r="O28">
        <v>81</v>
      </c>
      <c r="P28">
        <v>34.75</v>
      </c>
      <c r="Q28">
        <v>2</v>
      </c>
      <c r="R28">
        <v>5.27</v>
      </c>
      <c r="S28">
        <v>1.1000000000000001</v>
      </c>
      <c r="T28">
        <v>1.07</v>
      </c>
      <c r="U28">
        <v>2.12</v>
      </c>
      <c r="V28">
        <v>99</v>
      </c>
      <c r="W28">
        <v>1</v>
      </c>
      <c r="X28">
        <v>2</v>
      </c>
      <c r="Y28">
        <v>40.020000000000003</v>
      </c>
      <c r="Z28">
        <v>0</v>
      </c>
      <c r="AA28">
        <v>0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40.020000000000003</v>
      </c>
      <c r="AI28" t="s">
        <v>182</v>
      </c>
      <c r="AJ28" t="s">
        <v>37</v>
      </c>
      <c r="AK28">
        <v>0.7</v>
      </c>
    </row>
    <row r="29" spans="1:37" hidden="1" x14ac:dyDescent="0.25">
      <c r="A29" s="2">
        <v>45642</v>
      </c>
      <c r="B29" t="s">
        <v>356</v>
      </c>
      <c r="C29" t="s">
        <v>357</v>
      </c>
      <c r="D29">
        <v>63</v>
      </c>
      <c r="E29">
        <v>0.79207920792079212</v>
      </c>
      <c r="F29">
        <v>0.05</v>
      </c>
      <c r="G29">
        <v>45.04</v>
      </c>
      <c r="H29">
        <v>0.25</v>
      </c>
      <c r="I29">
        <v>44.79</v>
      </c>
      <c r="J29">
        <v>883.68999999999903</v>
      </c>
      <c r="K29">
        <v>46.89</v>
      </c>
      <c r="L29">
        <v>0</v>
      </c>
      <c r="M29" t="s">
        <v>358</v>
      </c>
      <c r="N29">
        <v>14</v>
      </c>
      <c r="O29">
        <v>49</v>
      </c>
      <c r="P29">
        <v>37.659999999999997</v>
      </c>
      <c r="Q29">
        <v>12</v>
      </c>
      <c r="R29">
        <v>7.13</v>
      </c>
      <c r="S29">
        <v>17.760000000000002</v>
      </c>
      <c r="T29">
        <v>14.92</v>
      </c>
      <c r="U29">
        <v>1.4</v>
      </c>
      <c r="V29">
        <v>80</v>
      </c>
      <c r="W29">
        <v>9</v>
      </c>
      <c r="X29">
        <v>4</v>
      </c>
      <c r="Y29">
        <v>0</v>
      </c>
      <c r="Z29">
        <v>0</v>
      </c>
      <c r="AA29">
        <v>44.79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183</v>
      </c>
      <c r="AJ29" t="s">
        <v>65</v>
      </c>
      <c r="AK29">
        <v>0.7</v>
      </c>
    </row>
    <row r="30" spans="1:37" hidden="1" x14ac:dyDescent="0.25">
      <c r="A30" s="2">
        <v>45649</v>
      </c>
      <c r="B30" t="s">
        <v>356</v>
      </c>
      <c r="C30" t="s">
        <v>357</v>
      </c>
      <c r="D30">
        <v>47</v>
      </c>
      <c r="E30">
        <v>0.86206896551724133</v>
      </c>
      <c r="F30">
        <v>0.02</v>
      </c>
      <c r="G30">
        <v>23.04</v>
      </c>
      <c r="H30">
        <v>1.56</v>
      </c>
      <c r="I30">
        <v>21.48</v>
      </c>
      <c r="J30">
        <v>421.53</v>
      </c>
      <c r="K30">
        <v>34</v>
      </c>
      <c r="L30">
        <v>0</v>
      </c>
      <c r="M30" t="s">
        <v>358</v>
      </c>
      <c r="N30">
        <v>6</v>
      </c>
      <c r="O30">
        <v>41</v>
      </c>
      <c r="P30">
        <v>19.28</v>
      </c>
      <c r="Q30">
        <v>1</v>
      </c>
      <c r="R30">
        <v>2.19</v>
      </c>
      <c r="S30">
        <v>9.6300000000000008</v>
      </c>
      <c r="T30">
        <v>8.94</v>
      </c>
      <c r="U30">
        <v>2.04</v>
      </c>
      <c r="V30">
        <v>50</v>
      </c>
      <c r="W30">
        <v>7</v>
      </c>
      <c r="X30">
        <v>1</v>
      </c>
      <c r="Y30">
        <v>0</v>
      </c>
      <c r="Z30">
        <v>0</v>
      </c>
      <c r="AA30">
        <v>21.48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0</v>
      </c>
      <c r="AI30" t="s">
        <v>183</v>
      </c>
      <c r="AJ30" t="s">
        <v>65</v>
      </c>
      <c r="AK30">
        <v>0.7</v>
      </c>
    </row>
    <row r="31" spans="1:37" hidden="1" x14ac:dyDescent="0.25">
      <c r="A31" s="2">
        <v>45642</v>
      </c>
      <c r="B31" t="s">
        <v>311</v>
      </c>
      <c r="C31" t="s">
        <v>315</v>
      </c>
      <c r="D31">
        <v>29</v>
      </c>
      <c r="E31">
        <v>1</v>
      </c>
      <c r="F31">
        <v>3.7037037037037035E-2</v>
      </c>
      <c r="G31">
        <v>26.75</v>
      </c>
      <c r="H31">
        <v>2.1</v>
      </c>
      <c r="I31">
        <v>24.65</v>
      </c>
      <c r="J31">
        <v>364.81</v>
      </c>
      <c r="K31">
        <v>10.52</v>
      </c>
      <c r="L31">
        <v>0</v>
      </c>
      <c r="M31" t="s">
        <v>338</v>
      </c>
      <c r="N31">
        <v>0</v>
      </c>
      <c r="O31">
        <v>29</v>
      </c>
      <c r="P31">
        <v>18.38</v>
      </c>
      <c r="Q31">
        <v>0</v>
      </c>
      <c r="R31">
        <v>6.27</v>
      </c>
      <c r="S31">
        <v>6.88</v>
      </c>
      <c r="T31">
        <v>5.04</v>
      </c>
      <c r="U31">
        <v>1.08</v>
      </c>
      <c r="V31">
        <v>54</v>
      </c>
      <c r="W31">
        <v>0</v>
      </c>
      <c r="X31">
        <v>2</v>
      </c>
      <c r="Y31">
        <v>24.65</v>
      </c>
      <c r="Z31">
        <v>0</v>
      </c>
      <c r="AA31">
        <v>0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24.65</v>
      </c>
      <c r="AI31" t="s">
        <v>184</v>
      </c>
      <c r="AJ31" t="s">
        <v>37</v>
      </c>
      <c r="AK31">
        <v>0.7</v>
      </c>
    </row>
    <row r="32" spans="1:37" hidden="1" x14ac:dyDescent="0.25">
      <c r="A32" s="2">
        <v>45649</v>
      </c>
      <c r="B32" t="s">
        <v>311</v>
      </c>
      <c r="C32" t="s">
        <v>315</v>
      </c>
      <c r="D32">
        <v>52</v>
      </c>
      <c r="E32">
        <v>1</v>
      </c>
      <c r="F32">
        <v>5.8823529411764705E-2</v>
      </c>
      <c r="G32">
        <v>35.229999999999997</v>
      </c>
      <c r="H32">
        <v>1.55</v>
      </c>
      <c r="I32">
        <v>33.68</v>
      </c>
      <c r="J32">
        <v>482.229999999999</v>
      </c>
      <c r="K32">
        <v>11</v>
      </c>
      <c r="L32">
        <v>0</v>
      </c>
      <c r="M32" t="s">
        <v>338</v>
      </c>
      <c r="N32">
        <v>0</v>
      </c>
      <c r="O32">
        <v>52</v>
      </c>
      <c r="P32">
        <v>24.3</v>
      </c>
      <c r="Q32">
        <v>0</v>
      </c>
      <c r="R32">
        <v>9.3800000000000008</v>
      </c>
      <c r="S32">
        <v>11.41</v>
      </c>
      <c r="T32">
        <v>8.24</v>
      </c>
      <c r="U32">
        <v>1.48</v>
      </c>
      <c r="V32">
        <v>85</v>
      </c>
      <c r="W32">
        <v>0</v>
      </c>
      <c r="X32">
        <v>5</v>
      </c>
      <c r="Y32">
        <v>0</v>
      </c>
      <c r="Z32">
        <v>0</v>
      </c>
      <c r="AA32">
        <v>33.68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0</v>
      </c>
      <c r="AI32" t="s">
        <v>184</v>
      </c>
      <c r="AJ32" t="s">
        <v>37</v>
      </c>
      <c r="AK32">
        <v>0.7</v>
      </c>
    </row>
    <row r="33" spans="1:37" hidden="1" x14ac:dyDescent="0.25">
      <c r="A33" s="2">
        <v>45642</v>
      </c>
      <c r="B33" t="s">
        <v>316</v>
      </c>
      <c r="C33" t="s">
        <v>317</v>
      </c>
      <c r="D33">
        <v>54</v>
      </c>
      <c r="E33">
        <v>1</v>
      </c>
      <c r="F33">
        <v>0</v>
      </c>
      <c r="G33">
        <v>27.74</v>
      </c>
      <c r="H33">
        <v>0</v>
      </c>
      <c r="I33">
        <v>27.74</v>
      </c>
      <c r="J33">
        <v>733.5</v>
      </c>
      <c r="K33">
        <v>25.18</v>
      </c>
      <c r="L33">
        <v>0</v>
      </c>
      <c r="M33" t="s">
        <v>342</v>
      </c>
      <c r="N33">
        <v>7</v>
      </c>
      <c r="O33">
        <v>47</v>
      </c>
      <c r="P33">
        <v>26.29</v>
      </c>
      <c r="Q33">
        <v>0</v>
      </c>
      <c r="R33">
        <v>1.45</v>
      </c>
      <c r="S33">
        <v>0</v>
      </c>
      <c r="T33">
        <v>0</v>
      </c>
      <c r="U33">
        <v>1.95</v>
      </c>
      <c r="V33">
        <v>63</v>
      </c>
      <c r="W33">
        <v>0</v>
      </c>
      <c r="X33">
        <v>0</v>
      </c>
      <c r="Y33">
        <v>27.74</v>
      </c>
      <c r="Z33">
        <v>0</v>
      </c>
      <c r="AA33">
        <v>0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27.74</v>
      </c>
      <c r="AI33" t="s">
        <v>185</v>
      </c>
      <c r="AJ33" t="s">
        <v>37</v>
      </c>
      <c r="AK33">
        <v>0.7</v>
      </c>
    </row>
    <row r="34" spans="1:37" hidden="1" x14ac:dyDescent="0.25">
      <c r="A34" s="2">
        <v>45649</v>
      </c>
      <c r="B34" t="s">
        <v>316</v>
      </c>
      <c r="C34" t="s">
        <v>317</v>
      </c>
      <c r="D34">
        <v>52</v>
      </c>
      <c r="E34">
        <v>1</v>
      </c>
      <c r="F34">
        <v>3.5714285714285712E-2</v>
      </c>
      <c r="G34">
        <v>25.14</v>
      </c>
      <c r="H34">
        <v>0.42</v>
      </c>
      <c r="I34">
        <v>24.72</v>
      </c>
      <c r="J34">
        <v>608.66999999999996</v>
      </c>
      <c r="K34">
        <v>9.39</v>
      </c>
      <c r="L34">
        <v>0</v>
      </c>
      <c r="M34" t="s">
        <v>342</v>
      </c>
      <c r="N34">
        <v>6</v>
      </c>
      <c r="O34">
        <v>46</v>
      </c>
      <c r="P34">
        <v>24.47</v>
      </c>
      <c r="Q34">
        <v>0</v>
      </c>
      <c r="R34">
        <v>0.25</v>
      </c>
      <c r="S34">
        <v>1.85</v>
      </c>
      <c r="T34">
        <v>1.85</v>
      </c>
      <c r="U34">
        <v>2.0699999999999998</v>
      </c>
      <c r="V34">
        <v>56</v>
      </c>
      <c r="W34">
        <v>0</v>
      </c>
      <c r="X34">
        <v>2</v>
      </c>
      <c r="Y34">
        <v>24.72</v>
      </c>
      <c r="Z34">
        <v>0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24.72</v>
      </c>
      <c r="AI34" t="s">
        <v>185</v>
      </c>
      <c r="AJ34" t="s">
        <v>37</v>
      </c>
      <c r="AK34">
        <v>0.7</v>
      </c>
    </row>
    <row r="35" spans="1:37" hidden="1" x14ac:dyDescent="0.25">
      <c r="A35" s="2">
        <v>45642</v>
      </c>
      <c r="B35" t="s">
        <v>349</v>
      </c>
      <c r="C35" t="s">
        <v>350</v>
      </c>
      <c r="D35">
        <v>0</v>
      </c>
      <c r="E35">
        <v>0</v>
      </c>
      <c r="F35">
        <v>0</v>
      </c>
      <c r="G35">
        <v>1.24</v>
      </c>
      <c r="H35">
        <v>0.03</v>
      </c>
      <c r="I35">
        <v>1.21</v>
      </c>
      <c r="J35">
        <v>0</v>
      </c>
      <c r="K35">
        <v>0</v>
      </c>
      <c r="L35">
        <v>0</v>
      </c>
      <c r="M35" t="s">
        <v>351</v>
      </c>
      <c r="N35">
        <v>0</v>
      </c>
      <c r="O35">
        <v>0</v>
      </c>
      <c r="P35">
        <v>1.2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1.21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0</v>
      </c>
      <c r="AI35" t="s">
        <v>186</v>
      </c>
      <c r="AJ35" t="s">
        <v>48</v>
      </c>
      <c r="AK35">
        <v>0.7</v>
      </c>
    </row>
    <row r="36" spans="1:37" hidden="1" x14ac:dyDescent="0.25">
      <c r="A36" s="2">
        <v>45649</v>
      </c>
      <c r="B36" t="s">
        <v>349</v>
      </c>
      <c r="C36" t="s">
        <v>350</v>
      </c>
      <c r="D36">
        <v>3</v>
      </c>
      <c r="E36">
        <v>1</v>
      </c>
      <c r="F36">
        <v>0</v>
      </c>
      <c r="G36">
        <v>3.21</v>
      </c>
      <c r="H36">
        <v>0</v>
      </c>
      <c r="I36">
        <v>3.21</v>
      </c>
      <c r="J36">
        <v>30.24</v>
      </c>
      <c r="K36">
        <v>7.84</v>
      </c>
      <c r="L36">
        <v>0</v>
      </c>
      <c r="M36" t="s">
        <v>351</v>
      </c>
      <c r="N36">
        <v>0</v>
      </c>
      <c r="O36">
        <v>3</v>
      </c>
      <c r="P36">
        <v>0.96</v>
      </c>
      <c r="Q36">
        <v>0</v>
      </c>
      <c r="R36">
        <v>2.25</v>
      </c>
      <c r="S36">
        <v>0</v>
      </c>
      <c r="T36">
        <v>0</v>
      </c>
      <c r="U36">
        <v>0.93</v>
      </c>
      <c r="V36">
        <v>2</v>
      </c>
      <c r="W36">
        <v>0</v>
      </c>
      <c r="X36">
        <v>0</v>
      </c>
      <c r="Y36">
        <v>3.21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3.21</v>
      </c>
      <c r="AI36" t="s">
        <v>186</v>
      </c>
      <c r="AJ36" t="s">
        <v>48</v>
      </c>
      <c r="AK36">
        <v>0.7</v>
      </c>
    </row>
    <row r="37" spans="1:37" hidden="1" x14ac:dyDescent="0.25">
      <c r="A37" s="2">
        <v>45642</v>
      </c>
      <c r="B37" t="s">
        <v>359</v>
      </c>
      <c r="C37" t="s">
        <v>360</v>
      </c>
      <c r="D37">
        <v>116</v>
      </c>
      <c r="E37">
        <v>1</v>
      </c>
      <c r="F37">
        <v>8.0000000000000002E-3</v>
      </c>
      <c r="G37">
        <v>50.23</v>
      </c>
      <c r="H37">
        <v>0.01</v>
      </c>
      <c r="I37">
        <v>50.22</v>
      </c>
      <c r="J37">
        <v>1217.8499999999999</v>
      </c>
      <c r="K37">
        <v>28</v>
      </c>
      <c r="L37">
        <v>0</v>
      </c>
      <c r="M37" t="s">
        <v>361</v>
      </c>
      <c r="N37">
        <v>0</v>
      </c>
      <c r="O37">
        <v>116</v>
      </c>
      <c r="P37">
        <v>48.04</v>
      </c>
      <c r="Q37">
        <v>0</v>
      </c>
      <c r="R37">
        <v>2.1800000000000002</v>
      </c>
      <c r="S37">
        <v>16.25</v>
      </c>
      <c r="T37">
        <v>15.78</v>
      </c>
      <c r="U37">
        <v>2.31</v>
      </c>
      <c r="V37">
        <v>125</v>
      </c>
      <c r="W37">
        <v>0</v>
      </c>
      <c r="X37">
        <v>1</v>
      </c>
      <c r="Y37">
        <v>50.22</v>
      </c>
      <c r="Z37">
        <v>0</v>
      </c>
      <c r="AA37">
        <v>0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50.22</v>
      </c>
      <c r="AI37" t="s">
        <v>187</v>
      </c>
      <c r="AJ37" t="s">
        <v>44</v>
      </c>
      <c r="AK37">
        <v>0.7</v>
      </c>
    </row>
    <row r="38" spans="1:37" hidden="1" x14ac:dyDescent="0.25">
      <c r="A38" s="2">
        <v>45649</v>
      </c>
      <c r="B38" t="s">
        <v>359</v>
      </c>
      <c r="C38" t="s">
        <v>360</v>
      </c>
      <c r="D38">
        <v>70</v>
      </c>
      <c r="E38">
        <v>1</v>
      </c>
      <c r="F38">
        <v>0</v>
      </c>
      <c r="G38">
        <v>26.38</v>
      </c>
      <c r="H38">
        <v>0</v>
      </c>
      <c r="I38">
        <v>26.38</v>
      </c>
      <c r="J38">
        <v>588.719999999999</v>
      </c>
      <c r="K38">
        <v>17.59</v>
      </c>
      <c r="L38">
        <v>0</v>
      </c>
      <c r="M38" t="s">
        <v>361</v>
      </c>
      <c r="N38">
        <v>0</v>
      </c>
      <c r="O38">
        <v>70</v>
      </c>
      <c r="P38">
        <v>25.01</v>
      </c>
      <c r="Q38">
        <v>0</v>
      </c>
      <c r="R38">
        <v>1.36</v>
      </c>
      <c r="S38">
        <v>14.51</v>
      </c>
      <c r="T38">
        <v>14.04</v>
      </c>
      <c r="U38">
        <v>2.65</v>
      </c>
      <c r="V38">
        <v>74</v>
      </c>
      <c r="W38">
        <v>0</v>
      </c>
      <c r="X38">
        <v>0</v>
      </c>
      <c r="Y38">
        <v>26.38</v>
      </c>
      <c r="Z38">
        <v>0</v>
      </c>
      <c r="AA38">
        <v>0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26.38</v>
      </c>
      <c r="AI38" t="s">
        <v>187</v>
      </c>
      <c r="AJ38" t="s">
        <v>44</v>
      </c>
      <c r="AK38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F14"/>
  <sheetViews>
    <sheetView showGridLines="0" zoomScaleNormal="100" workbookViewId="0">
      <selection activeCell="D4" sqref="D4:E15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3" width="23.140625" bestFit="1" customWidth="1"/>
    <col min="4" max="5" width="22" bestFit="1" customWidth="1"/>
    <col min="6" max="6" width="10.85546875" customWidth="1"/>
  </cols>
  <sheetData>
    <row r="3" spans="1:6" x14ac:dyDescent="0.25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325</v>
      </c>
    </row>
    <row r="4" spans="1:6" x14ac:dyDescent="0.25">
      <c r="A4" t="s">
        <v>34</v>
      </c>
      <c r="B4" t="s">
        <v>12</v>
      </c>
      <c r="C4">
        <v>23.63</v>
      </c>
      <c r="D4">
        <v>23.63</v>
      </c>
      <c r="E4">
        <v>0</v>
      </c>
      <c r="F4" s="97">
        <v>0</v>
      </c>
    </row>
    <row r="5" spans="1:6" x14ac:dyDescent="0.25">
      <c r="A5" t="s">
        <v>34</v>
      </c>
      <c r="B5" t="s">
        <v>13</v>
      </c>
      <c r="C5">
        <v>24.35</v>
      </c>
      <c r="D5">
        <v>24.35</v>
      </c>
      <c r="E5">
        <v>0</v>
      </c>
      <c r="F5" s="97">
        <f t="shared" ref="F5:F13" si="0">+C5-D5-E5</f>
        <v>0</v>
      </c>
    </row>
    <row r="6" spans="1:6" x14ac:dyDescent="0.25">
      <c r="A6" t="s">
        <v>37</v>
      </c>
      <c r="B6" t="s">
        <v>12</v>
      </c>
      <c r="C6">
        <v>190.32</v>
      </c>
      <c r="D6">
        <v>140</v>
      </c>
      <c r="E6">
        <v>50.319999999999993</v>
      </c>
      <c r="F6" s="97">
        <f t="shared" si="0"/>
        <v>0</v>
      </c>
    </row>
    <row r="7" spans="1:6" x14ac:dyDescent="0.25">
      <c r="A7" t="s">
        <v>37</v>
      </c>
      <c r="B7" t="s">
        <v>13</v>
      </c>
      <c r="C7">
        <v>205.48</v>
      </c>
      <c r="D7">
        <v>140</v>
      </c>
      <c r="E7">
        <v>65.47999999999999</v>
      </c>
      <c r="F7" s="97">
        <v>0</v>
      </c>
    </row>
    <row r="8" spans="1:6" x14ac:dyDescent="0.25">
      <c r="A8" t="s">
        <v>44</v>
      </c>
      <c r="B8" t="s">
        <v>12</v>
      </c>
      <c r="C8">
        <v>50.22</v>
      </c>
      <c r="D8">
        <v>50.22</v>
      </c>
      <c r="E8">
        <v>0</v>
      </c>
      <c r="F8" s="97">
        <f t="shared" si="0"/>
        <v>0</v>
      </c>
    </row>
    <row r="9" spans="1:6" x14ac:dyDescent="0.25">
      <c r="A9" t="s">
        <v>44</v>
      </c>
      <c r="B9" t="s">
        <v>13</v>
      </c>
      <c r="C9">
        <v>26.38</v>
      </c>
      <c r="D9">
        <v>26.38</v>
      </c>
      <c r="E9">
        <v>0</v>
      </c>
      <c r="F9" s="97">
        <f t="shared" si="0"/>
        <v>0</v>
      </c>
    </row>
    <row r="10" spans="1:6" x14ac:dyDescent="0.25">
      <c r="A10" t="s">
        <v>48</v>
      </c>
      <c r="B10" t="s">
        <v>12</v>
      </c>
      <c r="C10">
        <v>209.74</v>
      </c>
      <c r="D10">
        <v>140</v>
      </c>
      <c r="E10">
        <v>69.740000000000009</v>
      </c>
      <c r="F10" s="97">
        <f t="shared" si="0"/>
        <v>0</v>
      </c>
    </row>
    <row r="11" spans="1:6" x14ac:dyDescent="0.25">
      <c r="A11" t="s">
        <v>48</v>
      </c>
      <c r="B11" t="s">
        <v>13</v>
      </c>
      <c r="C11">
        <v>221.13</v>
      </c>
      <c r="D11">
        <v>140</v>
      </c>
      <c r="E11">
        <v>80</v>
      </c>
      <c r="F11" s="99">
        <f t="shared" si="0"/>
        <v>1.1299999999999955</v>
      </c>
    </row>
    <row r="12" spans="1:6" x14ac:dyDescent="0.25">
      <c r="A12" t="s">
        <v>65</v>
      </c>
      <c r="B12" t="s">
        <v>12</v>
      </c>
      <c r="C12">
        <v>83.74</v>
      </c>
      <c r="D12">
        <v>70</v>
      </c>
      <c r="E12">
        <v>13.739999999999995</v>
      </c>
      <c r="F12" s="97">
        <f t="shared" si="0"/>
        <v>0</v>
      </c>
    </row>
    <row r="13" spans="1:6" x14ac:dyDescent="0.25">
      <c r="A13" t="s">
        <v>65</v>
      </c>
      <c r="B13" t="s">
        <v>13</v>
      </c>
      <c r="C13">
        <v>106.97</v>
      </c>
      <c r="D13">
        <v>70</v>
      </c>
      <c r="E13">
        <v>36.97</v>
      </c>
      <c r="F13" s="98">
        <f t="shared" si="0"/>
        <v>0</v>
      </c>
    </row>
    <row r="14" spans="1:6" x14ac:dyDescent="0.25">
      <c r="A14" t="s">
        <v>322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J11"/>
  <sheetViews>
    <sheetView zoomScale="119" zoomScaleNormal="119" workbookViewId="0">
      <selection activeCell="H19" sqref="H19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3.140625" bestFit="1" customWidth="1"/>
    <col min="5" max="5" width="22" bestFit="1" customWidth="1"/>
    <col min="6" max="6" width="24" style="73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18" bestFit="1" customWidth="1"/>
    <col min="13" max="13" width="18.855468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2.7109375" bestFit="1" customWidth="1"/>
    <col min="19" max="19" width="7.42578125" bestFit="1" customWidth="1"/>
    <col min="20" max="20" width="14" bestFit="1" customWidth="1"/>
    <col min="21" max="21" width="11.42578125" bestFit="1" customWidth="1"/>
    <col min="22" max="22" width="22.5703125" bestFit="1" customWidth="1"/>
    <col min="23" max="23" width="11.425781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10.7109375" bestFit="1" customWidth="1"/>
    <col min="31" max="31" width="29.7109375" bestFit="1" customWidth="1"/>
    <col min="32" max="32" width="18.140625" bestFit="1" customWidth="1"/>
    <col min="33" max="33" width="20" bestFit="1" customWidth="1"/>
    <col min="34" max="34" width="15.42578125" bestFit="1" customWidth="1"/>
    <col min="35" max="35" width="12.5703125" bestFit="1" customWidth="1"/>
    <col min="36" max="36" width="16.85546875" bestFit="1" customWidth="1"/>
    <col min="37" max="37" width="16" bestFit="1" customWidth="1"/>
    <col min="38" max="38" width="13.710937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7.42578125" bestFit="1" customWidth="1"/>
    <col min="62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2" x14ac:dyDescent="0.2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s="73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L1" t="s">
        <v>125</v>
      </c>
      <c r="M1" t="s">
        <v>126</v>
      </c>
      <c r="N1" t="s">
        <v>194</v>
      </c>
      <c r="O1" t="s">
        <v>195</v>
      </c>
      <c r="P1" t="s">
        <v>127</v>
      </c>
      <c r="Q1" t="s">
        <v>128</v>
      </c>
      <c r="R1" t="s">
        <v>129</v>
      </c>
      <c r="S1" t="s">
        <v>24</v>
      </c>
      <c r="T1" t="s">
        <v>196</v>
      </c>
      <c r="U1" t="s">
        <v>131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205</v>
      </c>
      <c r="AN1" t="s">
        <v>206</v>
      </c>
      <c r="AO1" t="s">
        <v>207</v>
      </c>
      <c r="AP1" t="s">
        <v>208</v>
      </c>
      <c r="AQ1" t="s">
        <v>209</v>
      </c>
      <c r="AR1" t="s">
        <v>210</v>
      </c>
      <c r="AS1" t="s">
        <v>164</v>
      </c>
      <c r="AT1" t="s">
        <v>211</v>
      </c>
      <c r="AU1" t="s">
        <v>8</v>
      </c>
      <c r="AV1" t="s">
        <v>9</v>
      </c>
      <c r="AW1" t="s">
        <v>7</v>
      </c>
      <c r="AX1" t="s">
        <v>212</v>
      </c>
      <c r="AY1" t="s">
        <v>213</v>
      </c>
      <c r="AZ1" t="s">
        <v>214</v>
      </c>
      <c r="BA1" t="s">
        <v>215</v>
      </c>
      <c r="BB1" t="s">
        <v>216</v>
      </c>
      <c r="BC1" t="s">
        <v>217</v>
      </c>
      <c r="BD1" t="s">
        <v>218</v>
      </c>
      <c r="BE1" t="s">
        <v>219</v>
      </c>
      <c r="BF1" t="s">
        <v>220</v>
      </c>
      <c r="BG1" t="s">
        <v>221</v>
      </c>
      <c r="BH1" t="s">
        <v>222</v>
      </c>
      <c r="BI1" t="s">
        <v>223</v>
      </c>
      <c r="BJ1" t="s">
        <v>224</v>
      </c>
    </row>
    <row r="2" spans="1:62" x14ac:dyDescent="0.25">
      <c r="A2" t="s">
        <v>12</v>
      </c>
      <c r="B2">
        <v>50</v>
      </c>
      <c r="C2">
        <v>23.63</v>
      </c>
      <c r="D2">
        <v>23.63</v>
      </c>
      <c r="E2">
        <v>0</v>
      </c>
      <c r="F2" s="73">
        <v>0.47260000000000002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3.125E-2</v>
      </c>
      <c r="N2">
        <v>0</v>
      </c>
      <c r="O2">
        <v>0</v>
      </c>
      <c r="P2">
        <v>0.96741430385103699</v>
      </c>
      <c r="Q2">
        <v>0</v>
      </c>
      <c r="R2">
        <v>9</v>
      </c>
      <c r="S2">
        <v>0</v>
      </c>
      <c r="T2">
        <v>557.66</v>
      </c>
      <c r="U2">
        <v>566.66</v>
      </c>
      <c r="V2">
        <v>23.63</v>
      </c>
      <c r="W2">
        <v>50</v>
      </c>
      <c r="X2">
        <v>0</v>
      </c>
      <c r="Y2">
        <v>0</v>
      </c>
      <c r="Z2">
        <v>23.63</v>
      </c>
      <c r="AA2">
        <v>0</v>
      </c>
      <c r="AB2">
        <v>0</v>
      </c>
      <c r="AC2">
        <v>0</v>
      </c>
      <c r="AD2" s="2">
        <v>45642</v>
      </c>
      <c r="AE2" t="s">
        <v>34</v>
      </c>
      <c r="AF2">
        <v>51</v>
      </c>
      <c r="AG2">
        <v>23.63</v>
      </c>
      <c r="AH2">
        <v>0</v>
      </c>
      <c r="AI2">
        <v>0</v>
      </c>
      <c r="AJ2">
        <v>51</v>
      </c>
      <c r="AK2">
        <v>22.86</v>
      </c>
      <c r="AL2">
        <v>0.77</v>
      </c>
      <c r="AM2">
        <v>12.02</v>
      </c>
      <c r="AN2">
        <v>11.58</v>
      </c>
      <c r="AO2">
        <v>2.16</v>
      </c>
      <c r="AP2">
        <v>64</v>
      </c>
      <c r="AQ2">
        <v>0</v>
      </c>
      <c r="AR2">
        <v>2</v>
      </c>
      <c r="AS2">
        <v>23.63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0</v>
      </c>
      <c r="BJ2">
        <v>557.66</v>
      </c>
    </row>
    <row r="3" spans="1:62" x14ac:dyDescent="0.25">
      <c r="A3" t="s">
        <v>12</v>
      </c>
      <c r="B3">
        <v>210</v>
      </c>
      <c r="C3">
        <v>209.74</v>
      </c>
      <c r="D3">
        <v>140</v>
      </c>
      <c r="E3">
        <v>69.740000000000009</v>
      </c>
      <c r="F3" s="73">
        <v>0.99876190476190496</v>
      </c>
      <c r="G3">
        <v>2866.5</v>
      </c>
      <c r="H3">
        <v>1858.5709999999999</v>
      </c>
      <c r="I3">
        <v>1453.8680000000004</v>
      </c>
      <c r="J3">
        <v>0</v>
      </c>
      <c r="K3">
        <v>0</v>
      </c>
      <c r="L3">
        <v>0.977653631284916</v>
      </c>
      <c r="M3">
        <v>5.7142857142857099E-3</v>
      </c>
      <c r="N3">
        <v>726.93399999999997</v>
      </c>
      <c r="O3">
        <v>0</v>
      </c>
      <c r="P3">
        <v>0.79121769810241205</v>
      </c>
      <c r="Q3">
        <v>363.46699999999998</v>
      </c>
      <c r="R3">
        <v>139.47999999999999</v>
      </c>
      <c r="S3">
        <v>0</v>
      </c>
      <c r="T3">
        <v>0</v>
      </c>
      <c r="U3">
        <v>7408.82</v>
      </c>
      <c r="V3">
        <v>209.74</v>
      </c>
      <c r="W3">
        <v>210</v>
      </c>
      <c r="X3">
        <v>1453.8679999999999</v>
      </c>
      <c r="Y3">
        <v>2</v>
      </c>
      <c r="Z3">
        <v>209.74</v>
      </c>
      <c r="AA3">
        <v>0</v>
      </c>
      <c r="AB3">
        <v>726.93399999999997</v>
      </c>
      <c r="AC3">
        <v>0</v>
      </c>
      <c r="AD3" s="2">
        <v>45642</v>
      </c>
      <c r="AE3" t="s">
        <v>48</v>
      </c>
      <c r="AF3">
        <v>330</v>
      </c>
      <c r="AG3">
        <v>210.12</v>
      </c>
      <c r="AH3">
        <v>0.38</v>
      </c>
      <c r="AI3">
        <v>36</v>
      </c>
      <c r="AJ3">
        <v>294</v>
      </c>
      <c r="AK3">
        <v>165.95</v>
      </c>
      <c r="AL3">
        <v>43.78</v>
      </c>
      <c r="AM3">
        <v>45.35</v>
      </c>
      <c r="AN3">
        <v>40.989999999999995</v>
      </c>
      <c r="AO3">
        <v>9.3699999999999992</v>
      </c>
      <c r="AP3">
        <v>350</v>
      </c>
      <c r="AQ3">
        <v>6</v>
      </c>
      <c r="AR3">
        <v>2</v>
      </c>
      <c r="AS3">
        <v>168.79000000000002</v>
      </c>
      <c r="AU3">
        <v>0.1</v>
      </c>
      <c r="AV3">
        <v>0.05</v>
      </c>
      <c r="AW3">
        <v>0.7</v>
      </c>
      <c r="AX3">
        <v>31.5</v>
      </c>
      <c r="AY3">
        <v>41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0</v>
      </c>
      <c r="BJ3">
        <v>3690.53999999999</v>
      </c>
    </row>
    <row r="4" spans="1:62" x14ac:dyDescent="0.25">
      <c r="A4" t="s">
        <v>12</v>
      </c>
      <c r="B4">
        <v>191</v>
      </c>
      <c r="C4">
        <v>190.32</v>
      </c>
      <c r="D4">
        <v>140</v>
      </c>
      <c r="E4">
        <v>50.319999999999993</v>
      </c>
      <c r="F4" s="73">
        <v>1</v>
      </c>
      <c r="G4">
        <v>2861.95</v>
      </c>
      <c r="H4">
        <v>1354.1112000000001</v>
      </c>
      <c r="I4">
        <v>1297.2495999999999</v>
      </c>
      <c r="J4">
        <v>0</v>
      </c>
      <c r="K4">
        <v>0</v>
      </c>
      <c r="L4">
        <v>0.99054373522458605</v>
      </c>
      <c r="M4">
        <v>3.5799522673030999E-2</v>
      </c>
      <c r="N4">
        <v>648.62480000000005</v>
      </c>
      <c r="O4">
        <v>0</v>
      </c>
      <c r="P4">
        <v>0.88939680538041199</v>
      </c>
      <c r="Q4">
        <v>324.31240000000003</v>
      </c>
      <c r="R4">
        <v>152.75</v>
      </c>
      <c r="S4">
        <v>0</v>
      </c>
      <c r="T4">
        <v>0</v>
      </c>
      <c r="U4">
        <v>6638.9979999999996</v>
      </c>
      <c r="V4">
        <v>190.32</v>
      </c>
      <c r="W4">
        <v>180</v>
      </c>
      <c r="X4">
        <v>1297.2496000000001</v>
      </c>
      <c r="Y4">
        <v>4</v>
      </c>
      <c r="Z4">
        <v>190.32</v>
      </c>
      <c r="AA4">
        <v>0</v>
      </c>
      <c r="AB4">
        <v>648.62480000000005</v>
      </c>
      <c r="AC4">
        <v>11</v>
      </c>
      <c r="AD4" s="2">
        <v>45642</v>
      </c>
      <c r="AE4" t="s">
        <v>37</v>
      </c>
      <c r="AF4">
        <v>346</v>
      </c>
      <c r="AG4">
        <v>192.69</v>
      </c>
      <c r="AH4">
        <v>2.37</v>
      </c>
      <c r="AI4">
        <v>23</v>
      </c>
      <c r="AJ4">
        <v>323</v>
      </c>
      <c r="AK4">
        <v>169.26999999999998</v>
      </c>
      <c r="AL4">
        <v>21.04</v>
      </c>
      <c r="AM4">
        <v>73.400000000000006</v>
      </c>
      <c r="AN4">
        <v>66.88000000000001</v>
      </c>
      <c r="AO4">
        <v>12.6</v>
      </c>
      <c r="AP4">
        <v>419</v>
      </c>
      <c r="AQ4">
        <v>0</v>
      </c>
      <c r="AR4">
        <v>15</v>
      </c>
      <c r="AS4">
        <v>138.45999999999998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0</v>
      </c>
      <c r="BJ4">
        <v>4203.9299999999985</v>
      </c>
    </row>
    <row r="5" spans="1:62" x14ac:dyDescent="0.25">
      <c r="A5" t="s">
        <v>12</v>
      </c>
      <c r="B5">
        <v>60</v>
      </c>
      <c r="C5">
        <v>50.22</v>
      </c>
      <c r="D5">
        <v>50.22</v>
      </c>
      <c r="E5">
        <v>0</v>
      </c>
      <c r="F5" s="73">
        <v>0.83699999999999997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8.0000000000000002E-3</v>
      </c>
      <c r="N5">
        <v>0</v>
      </c>
      <c r="O5">
        <v>0</v>
      </c>
      <c r="P5">
        <v>0.95659099960175198</v>
      </c>
      <c r="Q5">
        <v>0</v>
      </c>
      <c r="R5">
        <v>28</v>
      </c>
      <c r="S5">
        <v>0</v>
      </c>
      <c r="T5">
        <v>1217.8499999999999</v>
      </c>
      <c r="U5">
        <v>1245.8499999999999</v>
      </c>
      <c r="V5">
        <v>50.22</v>
      </c>
      <c r="W5">
        <v>60</v>
      </c>
      <c r="X5">
        <v>0</v>
      </c>
      <c r="Y5">
        <v>0</v>
      </c>
      <c r="Z5">
        <v>50.22</v>
      </c>
      <c r="AA5">
        <v>0</v>
      </c>
      <c r="AB5">
        <v>0</v>
      </c>
      <c r="AC5">
        <v>0</v>
      </c>
      <c r="AD5" s="2">
        <v>45642</v>
      </c>
      <c r="AE5" t="s">
        <v>44</v>
      </c>
      <c r="AF5">
        <v>116</v>
      </c>
      <c r="AG5">
        <v>50.23</v>
      </c>
      <c r="AH5">
        <v>0.01</v>
      </c>
      <c r="AI5">
        <v>0</v>
      </c>
      <c r="AJ5">
        <v>116</v>
      </c>
      <c r="AK5">
        <v>48.04</v>
      </c>
      <c r="AL5">
        <v>2.1800000000000002</v>
      </c>
      <c r="AM5">
        <v>16.25</v>
      </c>
      <c r="AN5">
        <v>15.78</v>
      </c>
      <c r="AO5">
        <v>2.31</v>
      </c>
      <c r="AP5">
        <v>125</v>
      </c>
      <c r="AQ5">
        <v>0</v>
      </c>
      <c r="AR5">
        <v>1</v>
      </c>
      <c r="AS5">
        <v>50.22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0</v>
      </c>
      <c r="BJ5">
        <v>1217.8499999999999</v>
      </c>
    </row>
    <row r="6" spans="1:62" x14ac:dyDescent="0.25">
      <c r="A6" t="s">
        <v>12</v>
      </c>
      <c r="B6">
        <v>85</v>
      </c>
      <c r="C6">
        <v>83.74</v>
      </c>
      <c r="D6">
        <v>70</v>
      </c>
      <c r="E6">
        <v>13.739999999999995</v>
      </c>
      <c r="F6" s="73">
        <v>0.98517647058823499</v>
      </c>
      <c r="G6">
        <v>1430.9749999999999</v>
      </c>
      <c r="H6">
        <v>369.74340000000001</v>
      </c>
      <c r="I6">
        <v>554.06719999999996</v>
      </c>
      <c r="J6">
        <v>0</v>
      </c>
      <c r="K6">
        <v>0</v>
      </c>
      <c r="L6">
        <v>0.85465116279069797</v>
      </c>
      <c r="M6">
        <v>2.7210884353741499E-2</v>
      </c>
      <c r="N6">
        <v>0</v>
      </c>
      <c r="O6">
        <v>0</v>
      </c>
      <c r="P6">
        <v>0.76546453307857598</v>
      </c>
      <c r="Q6">
        <v>138.51679999999999</v>
      </c>
      <c r="R6">
        <v>54.89</v>
      </c>
      <c r="S6">
        <v>0</v>
      </c>
      <c r="T6">
        <v>0</v>
      </c>
      <c r="U6">
        <v>2548.1923999999999</v>
      </c>
      <c r="V6">
        <v>83.74</v>
      </c>
      <c r="W6">
        <v>85</v>
      </c>
      <c r="X6">
        <v>554.06719999999996</v>
      </c>
      <c r="Y6">
        <v>16</v>
      </c>
      <c r="Z6">
        <v>0</v>
      </c>
      <c r="AA6">
        <v>0</v>
      </c>
      <c r="AB6">
        <v>0</v>
      </c>
      <c r="AC6">
        <v>0</v>
      </c>
      <c r="AD6" s="2">
        <v>45642</v>
      </c>
      <c r="AE6" t="s">
        <v>65</v>
      </c>
      <c r="AF6">
        <v>126</v>
      </c>
      <c r="AG6">
        <v>84.759999999999991</v>
      </c>
      <c r="AH6">
        <v>1.02</v>
      </c>
      <c r="AI6">
        <v>17</v>
      </c>
      <c r="AJ6">
        <v>109</v>
      </c>
      <c r="AK6">
        <v>64.099999999999994</v>
      </c>
      <c r="AL6">
        <v>19.64</v>
      </c>
      <c r="AM6">
        <v>20.090000000000003</v>
      </c>
      <c r="AN6">
        <v>17.170000000000002</v>
      </c>
      <c r="AO6">
        <v>2.99</v>
      </c>
      <c r="AP6">
        <v>147</v>
      </c>
      <c r="AQ6">
        <v>9</v>
      </c>
      <c r="AR6">
        <v>4</v>
      </c>
      <c r="AS6">
        <v>0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83.74</v>
      </c>
      <c r="BJ6">
        <v>1541.6599999999989</v>
      </c>
    </row>
    <row r="7" spans="1:62" x14ac:dyDescent="0.25">
      <c r="A7" t="s">
        <v>13</v>
      </c>
      <c r="B7">
        <v>50</v>
      </c>
      <c r="C7">
        <v>24.35</v>
      </c>
      <c r="D7">
        <v>24.35</v>
      </c>
      <c r="E7">
        <v>0</v>
      </c>
      <c r="F7" s="73">
        <v>0.48699999999999999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0.92772073921971199</v>
      </c>
      <c r="Q7">
        <v>0</v>
      </c>
      <c r="R7">
        <v>70</v>
      </c>
      <c r="S7">
        <v>0</v>
      </c>
      <c r="T7">
        <v>515.36</v>
      </c>
      <c r="U7">
        <v>585.36</v>
      </c>
      <c r="V7">
        <v>24.35</v>
      </c>
      <c r="W7">
        <v>50</v>
      </c>
      <c r="X7">
        <v>0</v>
      </c>
      <c r="Y7">
        <v>0</v>
      </c>
      <c r="Z7">
        <v>24.35</v>
      </c>
      <c r="AA7">
        <v>0</v>
      </c>
      <c r="AB7">
        <v>0</v>
      </c>
      <c r="AC7">
        <v>0</v>
      </c>
      <c r="AD7" s="2">
        <v>45649</v>
      </c>
      <c r="AE7" t="s">
        <v>34</v>
      </c>
      <c r="AF7">
        <v>59</v>
      </c>
      <c r="AG7">
        <v>24.35</v>
      </c>
      <c r="AH7">
        <v>0</v>
      </c>
      <c r="AI7">
        <v>0</v>
      </c>
      <c r="AJ7">
        <v>59</v>
      </c>
      <c r="AK7">
        <v>22.59</v>
      </c>
      <c r="AL7">
        <v>1.75</v>
      </c>
      <c r="AM7">
        <v>0</v>
      </c>
      <c r="AN7">
        <v>0</v>
      </c>
      <c r="AO7">
        <v>2.42</v>
      </c>
      <c r="AP7">
        <v>68</v>
      </c>
      <c r="AQ7">
        <v>0</v>
      </c>
      <c r="AR7">
        <v>0</v>
      </c>
      <c r="AS7">
        <v>24.35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0</v>
      </c>
      <c r="BJ7">
        <v>515.36</v>
      </c>
    </row>
    <row r="8" spans="1:62" x14ac:dyDescent="0.25">
      <c r="A8" t="s">
        <v>13</v>
      </c>
      <c r="B8">
        <v>220</v>
      </c>
      <c r="C8">
        <v>221.13</v>
      </c>
      <c r="D8">
        <v>140</v>
      </c>
      <c r="E8">
        <v>80</v>
      </c>
      <c r="F8" s="73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0.965034965034965</v>
      </c>
      <c r="M8">
        <v>1.9323671497584499E-2</v>
      </c>
      <c r="N8">
        <v>769</v>
      </c>
      <c r="O8">
        <v>0</v>
      </c>
      <c r="P8">
        <v>0.69506625062180605</v>
      </c>
      <c r="Q8">
        <v>0</v>
      </c>
      <c r="R8">
        <v>129.03</v>
      </c>
      <c r="S8">
        <v>0</v>
      </c>
      <c r="T8">
        <v>0</v>
      </c>
      <c r="U8">
        <v>7434.53</v>
      </c>
      <c r="V8">
        <v>220</v>
      </c>
      <c r="W8">
        <v>220</v>
      </c>
      <c r="X8">
        <v>1538</v>
      </c>
      <c r="Y8">
        <v>1</v>
      </c>
      <c r="Z8">
        <v>220</v>
      </c>
      <c r="AA8">
        <v>0</v>
      </c>
      <c r="AB8">
        <v>769</v>
      </c>
      <c r="AC8">
        <v>0</v>
      </c>
      <c r="AD8" s="2">
        <v>45649</v>
      </c>
      <c r="AE8" t="s">
        <v>48</v>
      </c>
      <c r="AF8">
        <v>359</v>
      </c>
      <c r="AG8">
        <v>221.25</v>
      </c>
      <c r="AH8">
        <v>0.12000000000000001</v>
      </c>
      <c r="AI8">
        <v>17</v>
      </c>
      <c r="AJ8">
        <v>342</v>
      </c>
      <c r="AK8">
        <v>153.70000000000002</v>
      </c>
      <c r="AL8">
        <v>67.42</v>
      </c>
      <c r="AM8">
        <v>57.440000000000005</v>
      </c>
      <c r="AN8">
        <v>44.120000000000005</v>
      </c>
      <c r="AO8">
        <v>10.51</v>
      </c>
      <c r="AP8">
        <v>414</v>
      </c>
      <c r="AQ8">
        <v>14</v>
      </c>
      <c r="AR8">
        <v>8</v>
      </c>
      <c r="AS8">
        <v>190.96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0</v>
      </c>
      <c r="BJ8">
        <v>3061.0299999999966</v>
      </c>
    </row>
    <row r="9" spans="1:62" x14ac:dyDescent="0.25">
      <c r="A9" t="s">
        <v>13</v>
      </c>
      <c r="B9">
        <v>206</v>
      </c>
      <c r="C9">
        <v>205.48</v>
      </c>
      <c r="D9">
        <v>140</v>
      </c>
      <c r="E9">
        <v>65.47999999999999</v>
      </c>
      <c r="F9" s="73">
        <v>1</v>
      </c>
      <c r="G9">
        <v>2861.95</v>
      </c>
      <c r="H9">
        <v>1762.0668000000001</v>
      </c>
      <c r="I9">
        <v>1422.7743999999998</v>
      </c>
      <c r="J9">
        <v>0</v>
      </c>
      <c r="K9">
        <v>0</v>
      </c>
      <c r="L9">
        <v>0.99120879120879102</v>
      </c>
      <c r="M9">
        <v>3.54767184035477E-2</v>
      </c>
      <c r="N9">
        <v>711.38720000000001</v>
      </c>
      <c r="O9">
        <v>0</v>
      </c>
      <c r="P9">
        <v>0.83633443644150296</v>
      </c>
      <c r="Q9">
        <v>355.6936</v>
      </c>
      <c r="R9">
        <v>140.38999999999999</v>
      </c>
      <c r="S9">
        <v>0</v>
      </c>
      <c r="T9">
        <v>0</v>
      </c>
      <c r="U9">
        <v>7254.2619999999997</v>
      </c>
      <c r="V9">
        <v>205.48</v>
      </c>
      <c r="W9">
        <v>205</v>
      </c>
      <c r="X9">
        <v>1422.7744</v>
      </c>
      <c r="Y9">
        <v>3</v>
      </c>
      <c r="Z9">
        <v>205.48</v>
      </c>
      <c r="AA9">
        <v>0</v>
      </c>
      <c r="AB9">
        <v>711.38720000000001</v>
      </c>
      <c r="AC9">
        <v>1</v>
      </c>
      <c r="AD9" s="2">
        <v>45649</v>
      </c>
      <c r="AE9" t="s">
        <v>37</v>
      </c>
      <c r="AF9">
        <v>383</v>
      </c>
      <c r="AG9">
        <v>210.51000000000002</v>
      </c>
      <c r="AH9">
        <v>5.03</v>
      </c>
      <c r="AI9">
        <v>42</v>
      </c>
      <c r="AJ9">
        <v>341</v>
      </c>
      <c r="AK9">
        <v>171.85</v>
      </c>
      <c r="AL9">
        <v>33.620000000000005</v>
      </c>
      <c r="AM9">
        <v>85.1</v>
      </c>
      <c r="AN9">
        <v>71.489999999999995</v>
      </c>
      <c r="AO9">
        <v>12.5</v>
      </c>
      <c r="AP9">
        <v>451</v>
      </c>
      <c r="AQ9">
        <v>1</v>
      </c>
      <c r="AR9">
        <v>16</v>
      </c>
      <c r="AS9">
        <v>148.26000000000002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0</v>
      </c>
      <c r="BJ9">
        <v>3911.1699999999951</v>
      </c>
    </row>
    <row r="10" spans="1:62" x14ac:dyDescent="0.25">
      <c r="A10" t="s">
        <v>13</v>
      </c>
      <c r="B10">
        <v>60</v>
      </c>
      <c r="C10">
        <v>26.38</v>
      </c>
      <c r="D10">
        <v>26.38</v>
      </c>
      <c r="E10">
        <v>0</v>
      </c>
      <c r="F10" s="73">
        <v>0.43966666666666698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0.94806671721000801</v>
      </c>
      <c r="Q10">
        <v>0</v>
      </c>
      <c r="R10">
        <v>17.59</v>
      </c>
      <c r="S10">
        <v>0</v>
      </c>
      <c r="T10">
        <v>588.719999999999</v>
      </c>
      <c r="U10">
        <v>606.30999999999995</v>
      </c>
      <c r="V10">
        <v>26.38</v>
      </c>
      <c r="W10">
        <v>60</v>
      </c>
      <c r="X10">
        <v>0</v>
      </c>
      <c r="Y10">
        <v>0</v>
      </c>
      <c r="Z10">
        <v>26.38</v>
      </c>
      <c r="AA10">
        <v>0</v>
      </c>
      <c r="AB10">
        <v>0</v>
      </c>
      <c r="AC10">
        <v>0</v>
      </c>
      <c r="AD10" s="2">
        <v>45649</v>
      </c>
      <c r="AE10" t="s">
        <v>44</v>
      </c>
      <c r="AF10">
        <v>70</v>
      </c>
      <c r="AG10">
        <v>26.38</v>
      </c>
      <c r="AH10">
        <v>0</v>
      </c>
      <c r="AI10">
        <v>0</v>
      </c>
      <c r="AJ10">
        <v>70</v>
      </c>
      <c r="AK10">
        <v>25.01</v>
      </c>
      <c r="AL10">
        <v>1.36</v>
      </c>
      <c r="AM10">
        <v>14.51</v>
      </c>
      <c r="AN10">
        <v>14.04</v>
      </c>
      <c r="AO10">
        <v>2.65</v>
      </c>
      <c r="AP10">
        <v>74</v>
      </c>
      <c r="AQ10">
        <v>0</v>
      </c>
      <c r="AR10">
        <v>0</v>
      </c>
      <c r="AS10">
        <v>26.38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0</v>
      </c>
      <c r="BJ10">
        <v>588.719999999999</v>
      </c>
    </row>
    <row r="11" spans="1:62" x14ac:dyDescent="0.25">
      <c r="A11" t="s">
        <v>13</v>
      </c>
      <c r="B11">
        <v>107</v>
      </c>
      <c r="C11">
        <v>106.97</v>
      </c>
      <c r="D11">
        <v>70</v>
      </c>
      <c r="E11">
        <v>36.97</v>
      </c>
      <c r="F11" s="73">
        <v>1</v>
      </c>
      <c r="G11">
        <v>1430.9749999999999</v>
      </c>
      <c r="H11">
        <v>994.86270000000002</v>
      </c>
      <c r="I11">
        <v>746.41159999999991</v>
      </c>
      <c r="J11">
        <v>0</v>
      </c>
      <c r="K11">
        <v>0</v>
      </c>
      <c r="L11">
        <v>0.93467336683417102</v>
      </c>
      <c r="M11">
        <v>1.6129032258064498E-2</v>
      </c>
      <c r="N11">
        <v>0</v>
      </c>
      <c r="O11">
        <v>186.60290000000001</v>
      </c>
      <c r="P11">
        <v>0.76255024773300895</v>
      </c>
      <c r="Q11">
        <v>186.60290000000001</v>
      </c>
      <c r="R11">
        <v>143.81</v>
      </c>
      <c r="S11">
        <v>0</v>
      </c>
      <c r="T11">
        <v>0</v>
      </c>
      <c r="U11">
        <v>3689.2651000000001</v>
      </c>
      <c r="V11">
        <v>106.97</v>
      </c>
      <c r="W11">
        <v>100</v>
      </c>
      <c r="X11">
        <v>746.41160000000002</v>
      </c>
      <c r="Y11">
        <v>6</v>
      </c>
      <c r="Z11">
        <v>0</v>
      </c>
      <c r="AA11">
        <v>106.97</v>
      </c>
      <c r="AB11">
        <v>186.60290000000001</v>
      </c>
      <c r="AC11">
        <v>7</v>
      </c>
      <c r="AD11" s="2">
        <v>45649</v>
      </c>
      <c r="AE11" t="s">
        <v>65</v>
      </c>
      <c r="AF11">
        <v>172</v>
      </c>
      <c r="AG11">
        <v>109.49000000000001</v>
      </c>
      <c r="AH11">
        <v>2.52</v>
      </c>
      <c r="AI11">
        <v>30</v>
      </c>
      <c r="AJ11">
        <v>142</v>
      </c>
      <c r="AK11">
        <v>81.570000000000007</v>
      </c>
      <c r="AL11">
        <v>25.39</v>
      </c>
      <c r="AM11">
        <v>43.36</v>
      </c>
      <c r="AN11">
        <v>39.599999999999994</v>
      </c>
      <c r="AO11">
        <v>4.95</v>
      </c>
      <c r="AP11">
        <v>186</v>
      </c>
      <c r="AQ11">
        <v>7</v>
      </c>
      <c r="AR11">
        <v>3</v>
      </c>
      <c r="AS11">
        <v>49.25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0</v>
      </c>
      <c r="BJ11">
        <v>1873.13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166</v>
      </c>
      <c r="B1" t="s">
        <v>225</v>
      </c>
      <c r="C1" t="s">
        <v>226</v>
      </c>
      <c r="D1" t="s">
        <v>227</v>
      </c>
    </row>
    <row r="2" spans="1:4" hidden="1" x14ac:dyDescent="0.25">
      <c r="A2" t="s">
        <v>34</v>
      </c>
      <c r="B2" t="s">
        <v>171</v>
      </c>
    </row>
    <row r="3" spans="1:4" hidden="1" x14ac:dyDescent="0.25">
      <c r="A3" t="s">
        <v>34</v>
      </c>
      <c r="B3" t="s">
        <v>228</v>
      </c>
    </row>
    <row r="4" spans="1:4" hidden="1" x14ac:dyDescent="0.25">
      <c r="A4" t="s">
        <v>37</v>
      </c>
      <c r="B4" t="s">
        <v>174</v>
      </c>
    </row>
    <row r="5" spans="1:4" hidden="1" x14ac:dyDescent="0.25">
      <c r="A5" t="s">
        <v>37</v>
      </c>
      <c r="B5" t="s">
        <v>173</v>
      </c>
    </row>
    <row r="6" spans="1:4" hidden="1" x14ac:dyDescent="0.25">
      <c r="A6" t="s">
        <v>37</v>
      </c>
      <c r="B6" t="s">
        <v>177</v>
      </c>
    </row>
    <row r="7" spans="1:4" hidden="1" x14ac:dyDescent="0.25">
      <c r="A7" t="s">
        <v>37</v>
      </c>
      <c r="B7" t="s">
        <v>181</v>
      </c>
    </row>
    <row r="8" spans="1:4" hidden="1" x14ac:dyDescent="0.25">
      <c r="A8" t="s">
        <v>37</v>
      </c>
      <c r="B8" t="s">
        <v>184</v>
      </c>
    </row>
    <row r="9" spans="1:4" hidden="1" x14ac:dyDescent="0.25">
      <c r="A9" t="s">
        <v>37</v>
      </c>
      <c r="B9" t="s">
        <v>229</v>
      </c>
    </row>
    <row r="10" spans="1:4" hidden="1" x14ac:dyDescent="0.25">
      <c r="A10" t="s">
        <v>37</v>
      </c>
      <c r="B10" t="s">
        <v>185</v>
      </c>
    </row>
    <row r="11" spans="1:4" hidden="1" x14ac:dyDescent="0.25">
      <c r="A11" t="s">
        <v>37</v>
      </c>
      <c r="B11" t="s">
        <v>230</v>
      </c>
    </row>
    <row r="12" spans="1:4" hidden="1" x14ac:dyDescent="0.25">
      <c r="A12" t="s">
        <v>37</v>
      </c>
      <c r="B12" t="s">
        <v>231</v>
      </c>
    </row>
    <row r="13" spans="1:4" hidden="1" x14ac:dyDescent="0.25">
      <c r="A13" t="s">
        <v>37</v>
      </c>
      <c r="B13" t="s">
        <v>232</v>
      </c>
    </row>
    <row r="14" spans="1:4" hidden="1" x14ac:dyDescent="0.25">
      <c r="A14" t="s">
        <v>37</v>
      </c>
      <c r="B14" t="s">
        <v>170</v>
      </c>
    </row>
    <row r="15" spans="1:4" hidden="1" x14ac:dyDescent="0.25">
      <c r="A15" t="s">
        <v>37</v>
      </c>
      <c r="B15" t="s">
        <v>233</v>
      </c>
    </row>
    <row r="16" spans="1:4" hidden="1" x14ac:dyDescent="0.25">
      <c r="A16" t="s">
        <v>37</v>
      </c>
      <c r="B16" t="s">
        <v>234</v>
      </c>
    </row>
    <row r="17" spans="1:2" hidden="1" x14ac:dyDescent="0.25">
      <c r="A17" t="s">
        <v>37</v>
      </c>
      <c r="B17" t="s">
        <v>235</v>
      </c>
    </row>
    <row r="18" spans="1:2" hidden="1" x14ac:dyDescent="0.25">
      <c r="A18" t="s">
        <v>37</v>
      </c>
      <c r="B18" t="s">
        <v>236</v>
      </c>
    </row>
    <row r="19" spans="1:2" hidden="1" x14ac:dyDescent="0.25">
      <c r="A19" t="s">
        <v>48</v>
      </c>
      <c r="B19" t="s">
        <v>237</v>
      </c>
    </row>
    <row r="20" spans="1:2" hidden="1" x14ac:dyDescent="0.25">
      <c r="A20" t="s">
        <v>48</v>
      </c>
      <c r="B20" t="s">
        <v>238</v>
      </c>
    </row>
    <row r="21" spans="1:2" hidden="1" x14ac:dyDescent="0.25">
      <c r="A21" t="s">
        <v>48</v>
      </c>
      <c r="B21" t="s">
        <v>239</v>
      </c>
    </row>
    <row r="22" spans="1:2" hidden="1" x14ac:dyDescent="0.25">
      <c r="A22" t="s">
        <v>48</v>
      </c>
      <c r="B22" t="s">
        <v>240</v>
      </c>
    </row>
    <row r="23" spans="1:2" hidden="1" x14ac:dyDescent="0.25">
      <c r="A23" t="s">
        <v>48</v>
      </c>
      <c r="B23" t="s">
        <v>186</v>
      </c>
    </row>
    <row r="24" spans="1:2" hidden="1" x14ac:dyDescent="0.25">
      <c r="A24" t="s">
        <v>48</v>
      </c>
      <c r="B24" t="s">
        <v>241</v>
      </c>
    </row>
    <row r="25" spans="1:2" hidden="1" x14ac:dyDescent="0.25">
      <c r="A25" t="s">
        <v>48</v>
      </c>
      <c r="B25" t="s">
        <v>180</v>
      </c>
    </row>
    <row r="26" spans="1:2" hidden="1" x14ac:dyDescent="0.25">
      <c r="A26" t="s">
        <v>48</v>
      </c>
      <c r="B26" t="s">
        <v>169</v>
      </c>
    </row>
    <row r="27" spans="1:2" hidden="1" x14ac:dyDescent="0.25">
      <c r="A27" t="s">
        <v>48</v>
      </c>
      <c r="B27" t="s">
        <v>242</v>
      </c>
    </row>
    <row r="28" spans="1:2" hidden="1" x14ac:dyDescent="0.25">
      <c r="A28" t="s">
        <v>48</v>
      </c>
      <c r="B28" t="s">
        <v>175</v>
      </c>
    </row>
    <row r="29" spans="1:2" hidden="1" x14ac:dyDescent="0.25">
      <c r="A29" t="s">
        <v>48</v>
      </c>
      <c r="B29" t="s">
        <v>178</v>
      </c>
    </row>
    <row r="30" spans="1:2" hidden="1" x14ac:dyDescent="0.25">
      <c r="A30" t="s">
        <v>48</v>
      </c>
      <c r="B30" t="s">
        <v>172</v>
      </c>
    </row>
    <row r="31" spans="1:2" hidden="1" x14ac:dyDescent="0.25">
      <c r="A31" t="s">
        <v>48</v>
      </c>
      <c r="B31" t="s">
        <v>243</v>
      </c>
    </row>
    <row r="32" spans="1:2" hidden="1" x14ac:dyDescent="0.25">
      <c r="A32" t="s">
        <v>48</v>
      </c>
      <c r="B32" t="s">
        <v>244</v>
      </c>
    </row>
    <row r="33" spans="1:2" hidden="1" x14ac:dyDescent="0.25">
      <c r="A33" t="s">
        <v>48</v>
      </c>
      <c r="B33" t="s">
        <v>245</v>
      </c>
    </row>
    <row r="34" spans="1:2" hidden="1" x14ac:dyDescent="0.25">
      <c r="A34" t="s">
        <v>48</v>
      </c>
      <c r="B34" t="s">
        <v>246</v>
      </c>
    </row>
    <row r="35" spans="1:2" hidden="1" x14ac:dyDescent="0.25">
      <c r="A35" t="s">
        <v>48</v>
      </c>
      <c r="B35" t="s">
        <v>247</v>
      </c>
    </row>
    <row r="36" spans="1:2" hidden="1" x14ac:dyDescent="0.25">
      <c r="A36" t="s">
        <v>48</v>
      </c>
      <c r="B36" t="s">
        <v>248</v>
      </c>
    </row>
    <row r="37" spans="1:2" hidden="1" x14ac:dyDescent="0.25">
      <c r="A37" t="s">
        <v>48</v>
      </c>
      <c r="B37" t="s">
        <v>249</v>
      </c>
    </row>
    <row r="38" spans="1:2" hidden="1" x14ac:dyDescent="0.25">
      <c r="A38" t="s">
        <v>48</v>
      </c>
      <c r="B38" t="s">
        <v>250</v>
      </c>
    </row>
    <row r="39" spans="1:2" hidden="1" x14ac:dyDescent="0.25">
      <c r="A39" t="s">
        <v>48</v>
      </c>
      <c r="B39" t="s">
        <v>251</v>
      </c>
    </row>
    <row r="40" spans="1:2" hidden="1" x14ac:dyDescent="0.25">
      <c r="A40" t="s">
        <v>48</v>
      </c>
      <c r="B40" t="s">
        <v>252</v>
      </c>
    </row>
    <row r="41" spans="1:2" hidden="1" x14ac:dyDescent="0.25">
      <c r="A41" t="s">
        <v>37</v>
      </c>
      <c r="B41" t="s">
        <v>168</v>
      </c>
    </row>
    <row r="42" spans="1:2" hidden="1" x14ac:dyDescent="0.25">
      <c r="A42" t="s">
        <v>65</v>
      </c>
      <c r="B42" t="s">
        <v>176</v>
      </c>
    </row>
    <row r="43" spans="1:2" hidden="1" x14ac:dyDescent="0.25">
      <c r="A43" t="s">
        <v>65</v>
      </c>
      <c r="B43" t="s">
        <v>253</v>
      </c>
    </row>
    <row r="44" spans="1:2" hidden="1" x14ac:dyDescent="0.25">
      <c r="A44" t="s">
        <v>65</v>
      </c>
      <c r="B44" t="s">
        <v>254</v>
      </c>
    </row>
    <row r="45" spans="1:2" hidden="1" x14ac:dyDescent="0.25">
      <c r="A45" t="s">
        <v>65</v>
      </c>
      <c r="B45" t="s">
        <v>255</v>
      </c>
    </row>
    <row r="46" spans="1:2" hidden="1" x14ac:dyDescent="0.25">
      <c r="A46" t="s">
        <v>65</v>
      </c>
      <c r="B46" t="s">
        <v>256</v>
      </c>
    </row>
    <row r="47" spans="1:2" hidden="1" x14ac:dyDescent="0.25">
      <c r="A47" t="s">
        <v>65</v>
      </c>
      <c r="B47" t="s">
        <v>183</v>
      </c>
    </row>
    <row r="48" spans="1:2" hidden="1" x14ac:dyDescent="0.25">
      <c r="A48" t="s">
        <v>65</v>
      </c>
      <c r="B48" t="s">
        <v>257</v>
      </c>
    </row>
    <row r="49" spans="1:2" hidden="1" x14ac:dyDescent="0.25">
      <c r="A49" t="s">
        <v>65</v>
      </c>
      <c r="B49" t="s">
        <v>258</v>
      </c>
    </row>
    <row r="50" spans="1:2" hidden="1" x14ac:dyDescent="0.25">
      <c r="A50" t="s">
        <v>65</v>
      </c>
      <c r="B50" t="s">
        <v>259</v>
      </c>
    </row>
    <row r="51" spans="1:2" hidden="1" x14ac:dyDescent="0.25">
      <c r="A51" t="s">
        <v>34</v>
      </c>
      <c r="B51" t="s">
        <v>260</v>
      </c>
    </row>
    <row r="52" spans="1:2" hidden="1" x14ac:dyDescent="0.25">
      <c r="A52" t="s">
        <v>44</v>
      </c>
      <c r="B52" t="s">
        <v>261</v>
      </c>
    </row>
    <row r="53" spans="1:2" hidden="1" x14ac:dyDescent="0.25">
      <c r="A53" t="s">
        <v>37</v>
      </c>
      <c r="B53" t="s">
        <v>262</v>
      </c>
    </row>
    <row r="54" spans="1:2" hidden="1" x14ac:dyDescent="0.25">
      <c r="A54" t="s">
        <v>37</v>
      </c>
      <c r="B54" t="s">
        <v>263</v>
      </c>
    </row>
    <row r="55" spans="1:2" hidden="1" x14ac:dyDescent="0.25">
      <c r="A55" t="s">
        <v>44</v>
      </c>
      <c r="B55" t="s">
        <v>187</v>
      </c>
    </row>
    <row r="56" spans="1:2" hidden="1" x14ac:dyDescent="0.25">
      <c r="A56" t="s">
        <v>48</v>
      </c>
      <c r="B56" t="s">
        <v>167</v>
      </c>
    </row>
    <row r="57" spans="1:2" hidden="1" x14ac:dyDescent="0.25">
      <c r="A57" t="s">
        <v>44</v>
      </c>
      <c r="B57" t="s">
        <v>179</v>
      </c>
    </row>
    <row r="58" spans="1:2" hidden="1" x14ac:dyDescent="0.25">
      <c r="A58" t="s">
        <v>37</v>
      </c>
      <c r="B58" t="s">
        <v>182</v>
      </c>
    </row>
    <row r="59" spans="1:2" hidden="1" x14ac:dyDescent="0.25">
      <c r="A59" t="s">
        <v>65</v>
      </c>
      <c r="B59" t="s">
        <v>323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04" t="s">
        <v>44</v>
      </c>
      <c r="C2" s="104"/>
      <c r="D2" s="104"/>
      <c r="E2" s="104"/>
      <c r="F2" s="104"/>
      <c r="H2" s="28" t="s">
        <v>104</v>
      </c>
      <c r="I2" s="29">
        <v>1234.1600000000001</v>
      </c>
      <c r="M2" s="8"/>
      <c r="V2" s="8"/>
      <c r="W2" s="95"/>
      <c r="X2" s="95" t="s">
        <v>105</v>
      </c>
      <c r="AA2" s="114" t="s">
        <v>106</v>
      </c>
      <c r="AB2" s="114"/>
      <c r="AC2" s="6"/>
      <c r="AD2" s="118" t="s">
        <v>108</v>
      </c>
      <c r="AE2" s="118"/>
      <c r="AF2" s="6"/>
      <c r="AG2" s="118"/>
      <c r="AH2" s="118"/>
      <c r="AK2" s="64"/>
      <c r="AL2" s="62" t="s">
        <v>107</v>
      </c>
      <c r="AM2" s="6"/>
      <c r="AO2" s="114" t="s">
        <v>108</v>
      </c>
      <c r="AP2" s="114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W4" s="14"/>
      <c r="X4" s="22" t="s">
        <v>113</v>
      </c>
      <c r="Y4" s="94">
        <v>0</v>
      </c>
      <c r="AA4" s="9" t="s">
        <v>17</v>
      </c>
      <c r="AB4" s="10">
        <v>618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0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60</v>
      </c>
      <c r="D6" s="4">
        <v>50.22</v>
      </c>
      <c r="E6" s="4">
        <v>50.22</v>
      </c>
      <c r="F6" s="4">
        <v>0</v>
      </c>
      <c r="G6" s="67">
        <v>0.83699999999999997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1</v>
      </c>
      <c r="N6" s="87">
        <v>8.0000000000000002E-3</v>
      </c>
      <c r="O6" s="8">
        <v>0</v>
      </c>
      <c r="P6" s="74">
        <v>0</v>
      </c>
      <c r="Q6" s="87">
        <v>0.95659099960175198</v>
      </c>
      <c r="R6" s="8">
        <v>0</v>
      </c>
      <c r="S6" s="8">
        <v>28</v>
      </c>
      <c r="T6" s="8">
        <v>0</v>
      </c>
      <c r="U6" s="8">
        <v>1217.8499999999999</v>
      </c>
      <c r="V6" s="8">
        <v>1245.8499999999999</v>
      </c>
      <c r="W6" s="51"/>
      <c r="X6" s="52" t="s">
        <v>132</v>
      </c>
      <c r="Y6" s="94">
        <v>0</v>
      </c>
      <c r="AA6" s="11" t="s">
        <v>30</v>
      </c>
      <c r="AB6" s="12">
        <v>0</v>
      </c>
      <c r="AC6" s="6"/>
      <c r="AD6" s="6" t="s">
        <v>133</v>
      </c>
      <c r="AE6" s="94">
        <v>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0</v>
      </c>
      <c r="AQ6" s="8"/>
      <c r="AU6" s="6"/>
    </row>
    <row r="7" spans="2:47" ht="15.75" thickBot="1" x14ac:dyDescent="0.3">
      <c r="B7" s="7" t="s">
        <v>13</v>
      </c>
      <c r="C7" s="69">
        <v>60</v>
      </c>
      <c r="D7" s="4">
        <v>26.38</v>
      </c>
      <c r="E7" s="4">
        <v>26.38</v>
      </c>
      <c r="F7" s="4">
        <v>0</v>
      </c>
      <c r="G7" s="67">
        <v>0.43966666666666698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1</v>
      </c>
      <c r="N7" s="87">
        <v>0</v>
      </c>
      <c r="O7" s="8">
        <v>0</v>
      </c>
      <c r="P7" s="74">
        <v>0</v>
      </c>
      <c r="Q7" s="87">
        <v>0.94806671721000801</v>
      </c>
      <c r="R7" s="8">
        <v>0</v>
      </c>
      <c r="S7" s="8">
        <v>17.59</v>
      </c>
      <c r="T7" s="8">
        <v>0</v>
      </c>
      <c r="U7" s="8">
        <v>588.72</v>
      </c>
      <c r="V7" s="8">
        <v>606.30999999999995</v>
      </c>
      <c r="W7" s="8"/>
      <c r="X7" s="8"/>
      <c r="Y7" s="15"/>
      <c r="AA7" s="9" t="s">
        <v>106</v>
      </c>
      <c r="AB7" s="10">
        <v>618</v>
      </c>
      <c r="AC7" s="6"/>
      <c r="AD7" s="6" t="s">
        <v>30</v>
      </c>
      <c r="AE7" s="94">
        <v>0</v>
      </c>
      <c r="AF7" s="6"/>
      <c r="AG7" s="6"/>
      <c r="AL7" s="6"/>
      <c r="AM7" s="6"/>
      <c r="AO7" s="9" t="s">
        <v>30</v>
      </c>
      <c r="AP7" s="10">
        <f>SUM(AP3:AP6)</f>
        <v>0</v>
      </c>
      <c r="AQ7" s="8"/>
      <c r="AU7" s="6"/>
    </row>
    <row r="8" spans="2:47" x14ac:dyDescent="0.25">
      <c r="B8" s="25" t="s">
        <v>134</v>
      </c>
      <c r="C8" s="76">
        <v>120</v>
      </c>
      <c r="D8" s="26">
        <v>76.599999999999994</v>
      </c>
      <c r="E8" s="26">
        <v>76.599999999999994</v>
      </c>
      <c r="F8" s="26">
        <v>0</v>
      </c>
      <c r="G8" s="76"/>
      <c r="H8" s="86">
        <v>0</v>
      </c>
      <c r="I8" s="27">
        <v>0</v>
      </c>
      <c r="J8" s="27">
        <v>0</v>
      </c>
      <c r="K8" s="27">
        <v>0</v>
      </c>
      <c r="L8" s="27">
        <v>0</v>
      </c>
      <c r="M8" s="26"/>
      <c r="N8" s="88"/>
      <c r="O8" s="27">
        <v>0</v>
      </c>
      <c r="P8" s="27">
        <v>0</v>
      </c>
      <c r="Q8" s="88"/>
      <c r="R8" s="27">
        <v>0</v>
      </c>
      <c r="S8" s="27">
        <v>45.59</v>
      </c>
      <c r="T8" s="27">
        <v>0</v>
      </c>
      <c r="U8" s="27">
        <v>1806.57</v>
      </c>
      <c r="V8" s="8">
        <v>1852.16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6"/>
      <c r="N10" s="6"/>
      <c r="O10" s="6"/>
      <c r="P10" s="6"/>
      <c r="Q10" s="6"/>
      <c r="R10" s="6"/>
      <c r="S10" s="6"/>
      <c r="T10" s="6"/>
      <c r="U10" s="6"/>
      <c r="W10" s="115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7"/>
      <c r="AK10" s="115"/>
      <c r="AL10" s="116"/>
      <c r="AM10" s="116"/>
      <c r="AP10" s="115" t="s">
        <v>137</v>
      </c>
      <c r="AQ10" s="116"/>
      <c r="AR10" s="116"/>
      <c r="AS10" s="116"/>
      <c r="AT10" s="116"/>
      <c r="AU10" s="117"/>
    </row>
    <row r="11" spans="2:47" ht="45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25">
      <c r="B12" s="7">
        <v>45642</v>
      </c>
      <c r="C12" s="6" t="s">
        <v>359</v>
      </c>
      <c r="D12" s="6" t="s">
        <v>360</v>
      </c>
      <c r="E12" s="6">
        <v>116</v>
      </c>
      <c r="F12" s="66">
        <v>1</v>
      </c>
      <c r="G12" s="67">
        <v>8.0000000000000002E-3</v>
      </c>
      <c r="H12" s="5">
        <v>50.23</v>
      </c>
      <c r="I12" s="5">
        <v>0.01</v>
      </c>
      <c r="J12" s="4">
        <v>50.22</v>
      </c>
      <c r="K12" s="4">
        <v>1217.8499999999999</v>
      </c>
      <c r="L12" s="3">
        <v>28</v>
      </c>
      <c r="M12" s="3">
        <v>0</v>
      </c>
      <c r="X12" s="94">
        <v>309</v>
      </c>
      <c r="Y12" s="6">
        <v>2</v>
      </c>
      <c r="Z12" s="94">
        <v>618</v>
      </c>
      <c r="AP12" s="49" t="e" cm="1">
        <f t="array" ref="AP12">_xlfn._xlws.FILTER(#REF!,#REF!=$B$2,"No Data")</f>
        <v>#REF!</v>
      </c>
    </row>
    <row r="13" spans="2:47" x14ac:dyDescent="0.25">
      <c r="B13" s="7">
        <v>45649</v>
      </c>
      <c r="C13" s="6" t="s">
        <v>359</v>
      </c>
      <c r="D13" s="6" t="s">
        <v>360</v>
      </c>
      <c r="E13" s="6">
        <v>70</v>
      </c>
      <c r="F13" s="66">
        <v>1</v>
      </c>
      <c r="G13" s="67">
        <v>0</v>
      </c>
      <c r="H13" s="5">
        <v>26.38</v>
      </c>
      <c r="I13" s="5">
        <v>0</v>
      </c>
      <c r="J13" s="4">
        <v>26.38</v>
      </c>
      <c r="K13" s="4">
        <v>588.719999999999</v>
      </c>
      <c r="L13" s="3">
        <v>17.59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31.1406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166</v>
      </c>
      <c r="B1" t="s">
        <v>264</v>
      </c>
      <c r="C1" t="s">
        <v>265</v>
      </c>
      <c r="D1" t="s">
        <v>266</v>
      </c>
      <c r="E1" t="s">
        <v>29</v>
      </c>
    </row>
    <row r="2" spans="1:5" x14ac:dyDescent="0.25">
      <c r="A2" t="s">
        <v>48</v>
      </c>
      <c r="B2">
        <v>2338</v>
      </c>
      <c r="C2" t="s">
        <v>267</v>
      </c>
      <c r="D2" t="s">
        <v>268</v>
      </c>
      <c r="E2">
        <v>2</v>
      </c>
    </row>
    <row r="3" spans="1:5" x14ac:dyDescent="0.25">
      <c r="A3" t="s">
        <v>65</v>
      </c>
      <c r="B3">
        <v>2302</v>
      </c>
      <c r="C3" t="s">
        <v>269</v>
      </c>
      <c r="D3" t="s">
        <v>268</v>
      </c>
      <c r="E3">
        <v>2</v>
      </c>
    </row>
    <row r="4" spans="1:5" x14ac:dyDescent="0.25">
      <c r="A4" t="s">
        <v>37</v>
      </c>
      <c r="B4">
        <v>2313</v>
      </c>
      <c r="C4" t="s">
        <v>270</v>
      </c>
      <c r="D4" t="s">
        <v>268</v>
      </c>
      <c r="E4">
        <v>2</v>
      </c>
    </row>
    <row r="5" spans="1:5" x14ac:dyDescent="0.25">
      <c r="A5" t="s">
        <v>44</v>
      </c>
      <c r="B5">
        <v>2555</v>
      </c>
      <c r="C5" t="s">
        <v>369</v>
      </c>
      <c r="D5" t="s">
        <v>268</v>
      </c>
      <c r="E5">
        <v>2</v>
      </c>
    </row>
    <row r="6" spans="1:5" x14ac:dyDescent="0.25">
      <c r="A6" t="s">
        <v>34</v>
      </c>
      <c r="B6">
        <v>2298</v>
      </c>
      <c r="C6" t="s">
        <v>271</v>
      </c>
      <c r="D6" t="s">
        <v>272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31.140625" bestFit="1" customWidth="1"/>
    <col min="6" max="6" width="8.14062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166</v>
      </c>
      <c r="B1" t="s">
        <v>225</v>
      </c>
      <c r="C1" t="s">
        <v>266</v>
      </c>
      <c r="D1" t="s">
        <v>273</v>
      </c>
      <c r="E1" t="s">
        <v>265</v>
      </c>
      <c r="F1" t="s">
        <v>264</v>
      </c>
      <c r="G1" t="s">
        <v>274</v>
      </c>
    </row>
    <row r="2" spans="1:7" x14ac:dyDescent="0.25">
      <c r="A2" t="s">
        <v>34</v>
      </c>
      <c r="B2" t="s">
        <v>171</v>
      </c>
      <c r="C2" t="s">
        <v>272</v>
      </c>
      <c r="D2" t="s">
        <v>275</v>
      </c>
      <c r="E2" t="s">
        <v>271</v>
      </c>
      <c r="F2">
        <v>2298</v>
      </c>
      <c r="G2" t="s">
        <v>272</v>
      </c>
    </row>
    <row r="3" spans="1:7" x14ac:dyDescent="0.25">
      <c r="A3" t="s">
        <v>34</v>
      </c>
      <c r="B3" t="s">
        <v>228</v>
      </c>
      <c r="C3" t="s">
        <v>272</v>
      </c>
      <c r="D3" t="s">
        <v>275</v>
      </c>
      <c r="E3" t="s">
        <v>271</v>
      </c>
      <c r="F3">
        <v>2298</v>
      </c>
      <c r="G3" t="s">
        <v>272</v>
      </c>
    </row>
    <row r="4" spans="1:7" x14ac:dyDescent="0.25">
      <c r="A4" t="s">
        <v>37</v>
      </c>
      <c r="B4" t="s">
        <v>174</v>
      </c>
      <c r="C4" t="s">
        <v>268</v>
      </c>
      <c r="D4" t="s">
        <v>275</v>
      </c>
      <c r="E4" t="s">
        <v>270</v>
      </c>
      <c r="F4">
        <v>2313</v>
      </c>
      <c r="G4" t="s">
        <v>268</v>
      </c>
    </row>
    <row r="5" spans="1:7" x14ac:dyDescent="0.25">
      <c r="A5" t="s">
        <v>37</v>
      </c>
      <c r="B5" t="s">
        <v>173</v>
      </c>
      <c r="C5" t="s">
        <v>268</v>
      </c>
      <c r="D5" t="s">
        <v>275</v>
      </c>
      <c r="E5" t="s">
        <v>270</v>
      </c>
      <c r="F5">
        <v>2313</v>
      </c>
      <c r="G5" t="s">
        <v>268</v>
      </c>
    </row>
    <row r="6" spans="1:7" x14ac:dyDescent="0.25">
      <c r="A6" t="s">
        <v>37</v>
      </c>
      <c r="B6" t="s">
        <v>177</v>
      </c>
      <c r="C6" t="s">
        <v>268</v>
      </c>
      <c r="D6" t="s">
        <v>275</v>
      </c>
      <c r="E6" t="s">
        <v>270</v>
      </c>
      <c r="F6">
        <v>2313</v>
      </c>
      <c r="G6" t="s">
        <v>268</v>
      </c>
    </row>
    <row r="7" spans="1:7" x14ac:dyDescent="0.25">
      <c r="A7" t="s">
        <v>37</v>
      </c>
      <c r="B7" t="s">
        <v>181</v>
      </c>
      <c r="C7" t="s">
        <v>110</v>
      </c>
      <c r="D7" t="s">
        <v>276</v>
      </c>
      <c r="E7" t="s">
        <v>270</v>
      </c>
      <c r="F7">
        <v>2313</v>
      </c>
      <c r="G7" t="s">
        <v>110</v>
      </c>
    </row>
    <row r="8" spans="1:7" x14ac:dyDescent="0.25">
      <c r="A8" t="s">
        <v>37</v>
      </c>
      <c r="B8" t="s">
        <v>184</v>
      </c>
      <c r="C8" t="s">
        <v>268</v>
      </c>
      <c r="D8" t="s">
        <v>275</v>
      </c>
      <c r="E8" t="s">
        <v>270</v>
      </c>
      <c r="F8">
        <v>2313</v>
      </c>
      <c r="G8" t="s">
        <v>268</v>
      </c>
    </row>
    <row r="9" spans="1:7" x14ac:dyDescent="0.25">
      <c r="A9" t="s">
        <v>37</v>
      </c>
      <c r="B9" t="s">
        <v>229</v>
      </c>
      <c r="C9" t="s">
        <v>272</v>
      </c>
      <c r="D9" t="s">
        <v>275</v>
      </c>
      <c r="E9" t="s">
        <v>270</v>
      </c>
      <c r="F9">
        <v>2313</v>
      </c>
      <c r="G9" t="s">
        <v>272</v>
      </c>
    </row>
    <row r="10" spans="1:7" x14ac:dyDescent="0.25">
      <c r="A10" t="s">
        <v>37</v>
      </c>
      <c r="B10" t="s">
        <v>185</v>
      </c>
      <c r="C10" t="s">
        <v>272</v>
      </c>
      <c r="D10" t="s">
        <v>275</v>
      </c>
      <c r="E10" t="s">
        <v>270</v>
      </c>
      <c r="F10">
        <v>2313</v>
      </c>
      <c r="G10" t="s">
        <v>272</v>
      </c>
    </row>
    <row r="11" spans="1:7" x14ac:dyDescent="0.25">
      <c r="A11" t="s">
        <v>37</v>
      </c>
      <c r="B11" t="s">
        <v>230</v>
      </c>
      <c r="C11" t="s">
        <v>272</v>
      </c>
      <c r="D11" t="s">
        <v>275</v>
      </c>
      <c r="E11" t="s">
        <v>270</v>
      </c>
      <c r="F11">
        <v>2313</v>
      </c>
      <c r="G11" t="s">
        <v>272</v>
      </c>
    </row>
    <row r="12" spans="1:7" x14ac:dyDescent="0.25">
      <c r="A12" t="s">
        <v>37</v>
      </c>
      <c r="B12" t="s">
        <v>231</v>
      </c>
      <c r="C12" t="s">
        <v>272</v>
      </c>
      <c r="D12" t="s">
        <v>275</v>
      </c>
      <c r="E12" t="s">
        <v>270</v>
      </c>
      <c r="F12">
        <v>2313</v>
      </c>
      <c r="G12" t="s">
        <v>272</v>
      </c>
    </row>
    <row r="13" spans="1:7" x14ac:dyDescent="0.25">
      <c r="A13" t="s">
        <v>37</v>
      </c>
      <c r="B13" t="s">
        <v>232</v>
      </c>
      <c r="C13" t="s">
        <v>272</v>
      </c>
      <c r="D13" t="s">
        <v>275</v>
      </c>
      <c r="E13" t="s">
        <v>270</v>
      </c>
      <c r="F13">
        <v>2313</v>
      </c>
      <c r="G13" t="s">
        <v>272</v>
      </c>
    </row>
    <row r="14" spans="1:7" x14ac:dyDescent="0.25">
      <c r="A14" t="s">
        <v>37</v>
      </c>
      <c r="B14" t="s">
        <v>170</v>
      </c>
      <c r="C14" t="s">
        <v>272</v>
      </c>
      <c r="D14" t="s">
        <v>275</v>
      </c>
      <c r="E14" t="s">
        <v>270</v>
      </c>
      <c r="F14">
        <v>2313</v>
      </c>
      <c r="G14" t="s">
        <v>272</v>
      </c>
    </row>
    <row r="15" spans="1:7" x14ac:dyDescent="0.25">
      <c r="A15" t="s">
        <v>37</v>
      </c>
      <c r="B15" t="s">
        <v>233</v>
      </c>
      <c r="C15" t="s">
        <v>110</v>
      </c>
      <c r="D15" t="s">
        <v>277</v>
      </c>
      <c r="E15" t="s">
        <v>270</v>
      </c>
      <c r="F15">
        <v>2313</v>
      </c>
      <c r="G15" t="s">
        <v>110</v>
      </c>
    </row>
    <row r="16" spans="1:7" x14ac:dyDescent="0.25">
      <c r="A16" t="s">
        <v>37</v>
      </c>
      <c r="B16" t="s">
        <v>234</v>
      </c>
      <c r="C16" t="s">
        <v>272</v>
      </c>
      <c r="D16" t="s">
        <v>275</v>
      </c>
      <c r="E16" t="s">
        <v>270</v>
      </c>
      <c r="F16">
        <v>2313</v>
      </c>
      <c r="G16" t="s">
        <v>272</v>
      </c>
    </row>
    <row r="17" spans="1:7" x14ac:dyDescent="0.25">
      <c r="A17" t="s">
        <v>37</v>
      </c>
      <c r="B17" t="s">
        <v>235</v>
      </c>
      <c r="C17" t="s">
        <v>268</v>
      </c>
      <c r="D17" t="s">
        <v>275</v>
      </c>
      <c r="E17" t="s">
        <v>270</v>
      </c>
      <c r="F17">
        <v>2313</v>
      </c>
      <c r="G17" t="s">
        <v>268</v>
      </c>
    </row>
    <row r="18" spans="1:7" x14ac:dyDescent="0.25">
      <c r="A18" t="s">
        <v>37</v>
      </c>
      <c r="B18" t="s">
        <v>236</v>
      </c>
      <c r="C18" t="s">
        <v>268</v>
      </c>
      <c r="D18" t="s">
        <v>275</v>
      </c>
      <c r="E18" t="s">
        <v>270</v>
      </c>
      <c r="F18">
        <v>2313</v>
      </c>
      <c r="G18" t="s">
        <v>268</v>
      </c>
    </row>
    <row r="19" spans="1:7" x14ac:dyDescent="0.25">
      <c r="A19" t="s">
        <v>48</v>
      </c>
      <c r="B19" t="s">
        <v>237</v>
      </c>
      <c r="C19" t="s">
        <v>110</v>
      </c>
      <c r="D19" t="s">
        <v>277</v>
      </c>
      <c r="E19" t="s">
        <v>267</v>
      </c>
      <c r="F19">
        <v>2338</v>
      </c>
      <c r="G19" t="s">
        <v>110</v>
      </c>
    </row>
    <row r="20" spans="1:7" x14ac:dyDescent="0.25">
      <c r="A20" t="s">
        <v>48</v>
      </c>
      <c r="B20" t="s">
        <v>238</v>
      </c>
      <c r="C20" t="s">
        <v>272</v>
      </c>
      <c r="D20" t="s">
        <v>275</v>
      </c>
      <c r="E20" t="s">
        <v>267</v>
      </c>
      <c r="F20">
        <v>2338</v>
      </c>
      <c r="G20" t="s">
        <v>272</v>
      </c>
    </row>
    <row r="21" spans="1:7" x14ac:dyDescent="0.25">
      <c r="A21" t="s">
        <v>48</v>
      </c>
      <c r="B21" t="s">
        <v>239</v>
      </c>
      <c r="C21" t="s">
        <v>272</v>
      </c>
      <c r="D21" t="s">
        <v>275</v>
      </c>
      <c r="E21" t="s">
        <v>267</v>
      </c>
      <c r="F21">
        <v>2338</v>
      </c>
      <c r="G21" t="s">
        <v>272</v>
      </c>
    </row>
    <row r="22" spans="1:7" x14ac:dyDescent="0.25">
      <c r="A22" t="s">
        <v>48</v>
      </c>
      <c r="B22" t="s">
        <v>240</v>
      </c>
      <c r="C22" t="s">
        <v>268</v>
      </c>
      <c r="D22" t="s">
        <v>275</v>
      </c>
      <c r="E22" t="s">
        <v>267</v>
      </c>
      <c r="F22">
        <v>2338</v>
      </c>
      <c r="G22" t="s">
        <v>268</v>
      </c>
    </row>
    <row r="23" spans="1:7" x14ac:dyDescent="0.25">
      <c r="A23" t="s">
        <v>48</v>
      </c>
      <c r="B23" t="s">
        <v>186</v>
      </c>
      <c r="C23" t="s">
        <v>272</v>
      </c>
      <c r="D23" t="s">
        <v>275</v>
      </c>
      <c r="E23" t="s">
        <v>267</v>
      </c>
      <c r="F23">
        <v>2338</v>
      </c>
      <c r="G23" t="s">
        <v>272</v>
      </c>
    </row>
    <row r="24" spans="1:7" x14ac:dyDescent="0.25">
      <c r="A24" t="s">
        <v>48</v>
      </c>
      <c r="B24" t="s">
        <v>241</v>
      </c>
      <c r="C24" t="s">
        <v>110</v>
      </c>
      <c r="D24" t="s">
        <v>277</v>
      </c>
      <c r="E24" t="s">
        <v>267</v>
      </c>
      <c r="F24">
        <v>2338</v>
      </c>
      <c r="G24" t="s">
        <v>110</v>
      </c>
    </row>
    <row r="25" spans="1:7" x14ac:dyDescent="0.25">
      <c r="A25" t="s">
        <v>48</v>
      </c>
      <c r="B25" t="s">
        <v>180</v>
      </c>
      <c r="C25" t="s">
        <v>272</v>
      </c>
      <c r="D25" t="s">
        <v>275</v>
      </c>
      <c r="E25" t="s">
        <v>267</v>
      </c>
      <c r="F25">
        <v>2338</v>
      </c>
      <c r="G25" t="s">
        <v>272</v>
      </c>
    </row>
    <row r="26" spans="1:7" x14ac:dyDescent="0.25">
      <c r="A26" t="s">
        <v>48</v>
      </c>
      <c r="B26" t="s">
        <v>169</v>
      </c>
      <c r="C26" t="s">
        <v>272</v>
      </c>
      <c r="D26" t="s">
        <v>275</v>
      </c>
      <c r="E26" t="s">
        <v>267</v>
      </c>
      <c r="F26">
        <v>2338</v>
      </c>
      <c r="G26" t="s">
        <v>272</v>
      </c>
    </row>
    <row r="27" spans="1:7" x14ac:dyDescent="0.25">
      <c r="A27" t="s">
        <v>48</v>
      </c>
      <c r="B27" t="s">
        <v>242</v>
      </c>
      <c r="C27" t="s">
        <v>110</v>
      </c>
      <c r="D27" t="s">
        <v>277</v>
      </c>
      <c r="E27" t="s">
        <v>267</v>
      </c>
      <c r="F27">
        <v>2338</v>
      </c>
      <c r="G27" t="s">
        <v>110</v>
      </c>
    </row>
    <row r="28" spans="1:7" x14ac:dyDescent="0.25">
      <c r="A28" t="s">
        <v>48</v>
      </c>
      <c r="B28" t="s">
        <v>175</v>
      </c>
      <c r="C28" t="s">
        <v>268</v>
      </c>
      <c r="D28" t="s">
        <v>275</v>
      </c>
      <c r="E28" t="s">
        <v>267</v>
      </c>
      <c r="F28">
        <v>2338</v>
      </c>
      <c r="G28" t="s">
        <v>268</v>
      </c>
    </row>
    <row r="29" spans="1:7" x14ac:dyDescent="0.25">
      <c r="A29" t="s">
        <v>48</v>
      </c>
      <c r="B29" t="s">
        <v>178</v>
      </c>
      <c r="C29" t="s">
        <v>268</v>
      </c>
      <c r="D29" t="s">
        <v>276</v>
      </c>
      <c r="E29" t="s">
        <v>267</v>
      </c>
      <c r="F29">
        <v>2338</v>
      </c>
      <c r="G29" t="s">
        <v>268</v>
      </c>
    </row>
    <row r="30" spans="1:7" x14ac:dyDescent="0.25">
      <c r="A30" t="s">
        <v>48</v>
      </c>
      <c r="B30" t="s">
        <v>172</v>
      </c>
      <c r="C30" t="s">
        <v>268</v>
      </c>
      <c r="D30" t="s">
        <v>275</v>
      </c>
      <c r="E30" t="s">
        <v>267</v>
      </c>
      <c r="F30">
        <v>2338</v>
      </c>
      <c r="G30" t="s">
        <v>268</v>
      </c>
    </row>
    <row r="31" spans="1:7" x14ac:dyDescent="0.25">
      <c r="A31" t="s">
        <v>48</v>
      </c>
      <c r="B31" t="s">
        <v>243</v>
      </c>
      <c r="C31" t="s">
        <v>110</v>
      </c>
      <c r="D31" t="s">
        <v>276</v>
      </c>
      <c r="E31" t="s">
        <v>267</v>
      </c>
      <c r="F31">
        <v>2338</v>
      </c>
      <c r="G31" t="s">
        <v>110</v>
      </c>
    </row>
    <row r="32" spans="1:7" x14ac:dyDescent="0.25">
      <c r="A32" t="s">
        <v>48</v>
      </c>
      <c r="B32" t="s">
        <v>244</v>
      </c>
      <c r="C32" t="s">
        <v>272</v>
      </c>
      <c r="D32" t="s">
        <v>275</v>
      </c>
      <c r="E32" t="s">
        <v>267</v>
      </c>
      <c r="F32">
        <v>2338</v>
      </c>
      <c r="G32" t="s">
        <v>272</v>
      </c>
    </row>
    <row r="33" spans="1:7" x14ac:dyDescent="0.25">
      <c r="A33" t="s">
        <v>48</v>
      </c>
      <c r="B33" t="s">
        <v>245</v>
      </c>
      <c r="C33" t="s">
        <v>272</v>
      </c>
      <c r="D33" t="s">
        <v>275</v>
      </c>
      <c r="E33" t="s">
        <v>267</v>
      </c>
      <c r="F33">
        <v>2338</v>
      </c>
      <c r="G33" t="s">
        <v>272</v>
      </c>
    </row>
    <row r="34" spans="1:7" x14ac:dyDescent="0.25">
      <c r="A34" t="s">
        <v>48</v>
      </c>
      <c r="B34" t="s">
        <v>246</v>
      </c>
      <c r="C34" t="s">
        <v>110</v>
      </c>
      <c r="D34" t="s">
        <v>276</v>
      </c>
      <c r="E34" t="s">
        <v>267</v>
      </c>
      <c r="F34">
        <v>2338</v>
      </c>
      <c r="G34" t="s">
        <v>110</v>
      </c>
    </row>
    <row r="35" spans="1:7" x14ac:dyDescent="0.25">
      <c r="A35" t="s">
        <v>48</v>
      </c>
      <c r="B35" t="s">
        <v>247</v>
      </c>
      <c r="C35" t="s">
        <v>110</v>
      </c>
      <c r="D35" t="s">
        <v>276</v>
      </c>
      <c r="E35" t="s">
        <v>267</v>
      </c>
      <c r="F35">
        <v>2338</v>
      </c>
      <c r="G35" t="s">
        <v>110</v>
      </c>
    </row>
    <row r="36" spans="1:7" x14ac:dyDescent="0.25">
      <c r="A36" t="s">
        <v>48</v>
      </c>
      <c r="B36" t="s">
        <v>248</v>
      </c>
      <c r="C36" t="s">
        <v>110</v>
      </c>
      <c r="D36" t="s">
        <v>277</v>
      </c>
      <c r="E36" t="s">
        <v>267</v>
      </c>
      <c r="F36">
        <v>2338</v>
      </c>
      <c r="G36" t="s">
        <v>110</v>
      </c>
    </row>
    <row r="37" spans="1:7" x14ac:dyDescent="0.25">
      <c r="A37" t="s">
        <v>48</v>
      </c>
      <c r="B37" t="s">
        <v>249</v>
      </c>
      <c r="C37" t="s">
        <v>110</v>
      </c>
      <c r="D37" t="s">
        <v>277</v>
      </c>
      <c r="E37" t="s">
        <v>267</v>
      </c>
      <c r="F37">
        <v>2338</v>
      </c>
      <c r="G37" t="s">
        <v>110</v>
      </c>
    </row>
    <row r="38" spans="1:7" x14ac:dyDescent="0.25">
      <c r="A38" t="s">
        <v>48</v>
      </c>
      <c r="B38" t="s">
        <v>250</v>
      </c>
      <c r="C38" t="s">
        <v>110</v>
      </c>
      <c r="D38" t="s">
        <v>277</v>
      </c>
      <c r="E38" t="s">
        <v>267</v>
      </c>
      <c r="F38">
        <v>2338</v>
      </c>
      <c r="G38" t="s">
        <v>110</v>
      </c>
    </row>
    <row r="39" spans="1:7" x14ac:dyDescent="0.25">
      <c r="A39" t="s">
        <v>48</v>
      </c>
      <c r="B39" t="s">
        <v>251</v>
      </c>
      <c r="C39" t="s">
        <v>268</v>
      </c>
      <c r="D39" t="s">
        <v>275</v>
      </c>
      <c r="E39" t="s">
        <v>267</v>
      </c>
      <c r="F39">
        <v>2338</v>
      </c>
      <c r="G39" t="s">
        <v>268</v>
      </c>
    </row>
    <row r="40" spans="1:7" x14ac:dyDescent="0.25">
      <c r="A40" t="s">
        <v>48</v>
      </c>
      <c r="B40" t="s">
        <v>252</v>
      </c>
      <c r="C40" t="s">
        <v>268</v>
      </c>
      <c r="D40" t="s">
        <v>275</v>
      </c>
      <c r="E40" t="s">
        <v>267</v>
      </c>
      <c r="F40">
        <v>2338</v>
      </c>
      <c r="G40" t="s">
        <v>268</v>
      </c>
    </row>
    <row r="41" spans="1:7" x14ac:dyDescent="0.25">
      <c r="A41" t="s">
        <v>37</v>
      </c>
      <c r="B41" t="s">
        <v>168</v>
      </c>
      <c r="C41" t="s">
        <v>272</v>
      </c>
      <c r="D41" t="s">
        <v>276</v>
      </c>
      <c r="E41" t="s">
        <v>270</v>
      </c>
      <c r="F41">
        <v>2313</v>
      </c>
      <c r="G41" t="s">
        <v>272</v>
      </c>
    </row>
    <row r="42" spans="1:7" x14ac:dyDescent="0.25">
      <c r="A42" t="s">
        <v>65</v>
      </c>
      <c r="B42" t="s">
        <v>176</v>
      </c>
      <c r="C42" t="s">
        <v>268</v>
      </c>
      <c r="D42" t="s">
        <v>275</v>
      </c>
      <c r="E42" t="s">
        <v>269</v>
      </c>
      <c r="F42">
        <v>2302</v>
      </c>
      <c r="G42" t="s">
        <v>268</v>
      </c>
    </row>
    <row r="43" spans="1:7" x14ac:dyDescent="0.25">
      <c r="A43" t="s">
        <v>65</v>
      </c>
      <c r="B43" t="s">
        <v>253</v>
      </c>
      <c r="C43" t="s">
        <v>268</v>
      </c>
      <c r="D43" t="s">
        <v>275</v>
      </c>
      <c r="E43" t="s">
        <v>269</v>
      </c>
      <c r="F43">
        <v>2302</v>
      </c>
      <c r="G43" t="s">
        <v>268</v>
      </c>
    </row>
    <row r="44" spans="1:7" x14ac:dyDescent="0.25">
      <c r="A44" t="s">
        <v>65</v>
      </c>
      <c r="B44" t="s">
        <v>254</v>
      </c>
      <c r="C44" t="s">
        <v>268</v>
      </c>
      <c r="D44" t="s">
        <v>275</v>
      </c>
      <c r="E44" t="s">
        <v>269</v>
      </c>
      <c r="F44">
        <v>2302</v>
      </c>
      <c r="G44" t="s">
        <v>268</v>
      </c>
    </row>
    <row r="45" spans="1:7" x14ac:dyDescent="0.25">
      <c r="A45" t="s">
        <v>65</v>
      </c>
      <c r="B45" t="s">
        <v>255</v>
      </c>
      <c r="C45" t="s">
        <v>268</v>
      </c>
      <c r="D45" t="s">
        <v>276</v>
      </c>
      <c r="E45" t="s">
        <v>269</v>
      </c>
      <c r="F45">
        <v>2302</v>
      </c>
      <c r="G45" t="s">
        <v>268</v>
      </c>
    </row>
    <row r="46" spans="1:7" x14ac:dyDescent="0.25">
      <c r="A46" t="s">
        <v>65</v>
      </c>
      <c r="B46" t="s">
        <v>256</v>
      </c>
      <c r="C46" t="s">
        <v>272</v>
      </c>
      <c r="D46" t="s">
        <v>275</v>
      </c>
      <c r="E46" t="s">
        <v>269</v>
      </c>
      <c r="F46">
        <v>2302</v>
      </c>
      <c r="G46" t="s">
        <v>272</v>
      </c>
    </row>
    <row r="47" spans="1:7" x14ac:dyDescent="0.25">
      <c r="A47" t="s">
        <v>65</v>
      </c>
      <c r="B47" t="s">
        <v>183</v>
      </c>
      <c r="C47" t="s">
        <v>272</v>
      </c>
      <c r="D47" t="s">
        <v>275</v>
      </c>
      <c r="E47" t="s">
        <v>269</v>
      </c>
      <c r="F47">
        <v>2302</v>
      </c>
      <c r="G47" t="s">
        <v>272</v>
      </c>
    </row>
    <row r="48" spans="1:7" x14ac:dyDescent="0.25">
      <c r="A48" t="s">
        <v>65</v>
      </c>
      <c r="B48" t="s">
        <v>257</v>
      </c>
      <c r="C48" t="s">
        <v>272</v>
      </c>
      <c r="D48" t="s">
        <v>275</v>
      </c>
      <c r="E48" t="s">
        <v>269</v>
      </c>
      <c r="F48">
        <v>2302</v>
      </c>
      <c r="G48" t="s">
        <v>272</v>
      </c>
    </row>
    <row r="49" spans="1:7" x14ac:dyDescent="0.25">
      <c r="A49" t="s">
        <v>65</v>
      </c>
      <c r="B49" t="s">
        <v>258</v>
      </c>
      <c r="C49" t="s">
        <v>272</v>
      </c>
      <c r="D49" t="s">
        <v>275</v>
      </c>
      <c r="E49" t="s">
        <v>269</v>
      </c>
      <c r="F49">
        <v>2302</v>
      </c>
      <c r="G49" t="s">
        <v>272</v>
      </c>
    </row>
    <row r="50" spans="1:7" x14ac:dyDescent="0.25">
      <c r="A50" t="s">
        <v>65</v>
      </c>
      <c r="B50" t="s">
        <v>259</v>
      </c>
      <c r="C50" t="s">
        <v>110</v>
      </c>
      <c r="D50" t="s">
        <v>277</v>
      </c>
      <c r="E50" t="s">
        <v>269</v>
      </c>
      <c r="F50">
        <v>2302</v>
      </c>
      <c r="G50" t="s">
        <v>110</v>
      </c>
    </row>
    <row r="51" spans="1:7" x14ac:dyDescent="0.25">
      <c r="A51" t="s">
        <v>34</v>
      </c>
      <c r="B51" t="s">
        <v>260</v>
      </c>
      <c r="C51" t="s">
        <v>272</v>
      </c>
      <c r="D51" t="s">
        <v>275</v>
      </c>
      <c r="E51" t="s">
        <v>271</v>
      </c>
      <c r="F51">
        <v>2298</v>
      </c>
      <c r="G51" t="s">
        <v>272</v>
      </c>
    </row>
    <row r="52" spans="1:7" x14ac:dyDescent="0.25">
      <c r="A52" t="s">
        <v>44</v>
      </c>
      <c r="B52" t="s">
        <v>261</v>
      </c>
      <c r="C52" t="s">
        <v>268</v>
      </c>
      <c r="D52" t="s">
        <v>277</v>
      </c>
      <c r="E52" t="s">
        <v>369</v>
      </c>
      <c r="F52">
        <v>2555</v>
      </c>
      <c r="G52" t="s">
        <v>268</v>
      </c>
    </row>
    <row r="53" spans="1:7" x14ac:dyDescent="0.25">
      <c r="A53" t="s">
        <v>37</v>
      </c>
      <c r="B53" t="s">
        <v>262</v>
      </c>
      <c r="C53" t="s">
        <v>110</v>
      </c>
      <c r="D53" t="s">
        <v>277</v>
      </c>
      <c r="E53" t="s">
        <v>270</v>
      </c>
      <c r="F53">
        <v>2313</v>
      </c>
      <c r="G53" t="s">
        <v>110</v>
      </c>
    </row>
    <row r="54" spans="1:7" x14ac:dyDescent="0.25">
      <c r="A54" t="s">
        <v>37</v>
      </c>
      <c r="B54" t="s">
        <v>263</v>
      </c>
      <c r="C54" t="s">
        <v>110</v>
      </c>
      <c r="D54" t="s">
        <v>277</v>
      </c>
      <c r="E54" t="s">
        <v>270</v>
      </c>
      <c r="F54">
        <v>2313</v>
      </c>
      <c r="G54" t="s">
        <v>110</v>
      </c>
    </row>
    <row r="55" spans="1:7" x14ac:dyDescent="0.25">
      <c r="A55" t="s">
        <v>44</v>
      </c>
      <c r="B55" t="s">
        <v>187</v>
      </c>
      <c r="C55" t="s">
        <v>110</v>
      </c>
      <c r="D55" t="s">
        <v>277</v>
      </c>
      <c r="E55" t="s">
        <v>369</v>
      </c>
      <c r="F55">
        <v>2555</v>
      </c>
      <c r="G55" t="s">
        <v>110</v>
      </c>
    </row>
    <row r="56" spans="1:7" x14ac:dyDescent="0.25">
      <c r="A56" t="s">
        <v>48</v>
      </c>
      <c r="B56" t="s">
        <v>167</v>
      </c>
      <c r="C56" t="s">
        <v>272</v>
      </c>
      <c r="D56" t="s">
        <v>275</v>
      </c>
      <c r="E56" t="s">
        <v>267</v>
      </c>
      <c r="F56">
        <v>2338</v>
      </c>
      <c r="G56" t="s">
        <v>272</v>
      </c>
    </row>
    <row r="57" spans="1:7" x14ac:dyDescent="0.25">
      <c r="A57" t="s">
        <v>44</v>
      </c>
      <c r="B57" t="s">
        <v>179</v>
      </c>
      <c r="C57" t="s">
        <v>268</v>
      </c>
      <c r="D57" t="s">
        <v>277</v>
      </c>
      <c r="E57" t="s">
        <v>369</v>
      </c>
      <c r="F57">
        <v>2555</v>
      </c>
      <c r="G57" t="s">
        <v>268</v>
      </c>
    </row>
    <row r="58" spans="1:7" x14ac:dyDescent="0.25">
      <c r="A58" t="s">
        <v>37</v>
      </c>
      <c r="B58" t="s">
        <v>182</v>
      </c>
      <c r="C58" t="s">
        <v>272</v>
      </c>
      <c r="D58" t="s">
        <v>276</v>
      </c>
      <c r="E58" t="s">
        <v>270</v>
      </c>
      <c r="F58">
        <v>2313</v>
      </c>
      <c r="G58" t="s">
        <v>272</v>
      </c>
    </row>
    <row r="59" spans="1:7" x14ac:dyDescent="0.25">
      <c r="A59" t="s">
        <v>65</v>
      </c>
      <c r="B59" t="s">
        <v>323</v>
      </c>
      <c r="C59" t="s">
        <v>272</v>
      </c>
      <c r="D59" t="s">
        <v>275</v>
      </c>
      <c r="E59" t="s">
        <v>269</v>
      </c>
      <c r="F59">
        <v>2302</v>
      </c>
      <c r="G59" t="s">
        <v>272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2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281</v>
      </c>
      <c r="B2" s="1" t="s">
        <v>282</v>
      </c>
    </row>
    <row r="3" spans="1:5" x14ac:dyDescent="0.25">
      <c r="A3" s="1" t="s">
        <v>283</v>
      </c>
      <c r="B3" t="str" cm="1">
        <f t="array" aca="1" ref="B3" ca="1">LEFT(CELL("filename",A1),FIND("[",CELL("filename",A1))-1)</f>
        <v>C:\Users\neild\Desktop\DIV2 Payroll Analysis\</v>
      </c>
    </row>
    <row r="4" spans="1:5" x14ac:dyDescent="0.25">
      <c r="A4" s="1" t="s">
        <v>284</v>
      </c>
      <c r="B4" t="str" cm="1">
        <f t="array" aca="1" ref="B4" ca="1">LEFT(CELL("filename",A1),FIND("VDP",CELL("filename",A1))-1)</f>
        <v>C:\Users\neild\Desktop\DIV2 Payroll Analysis\[</v>
      </c>
    </row>
    <row r="9" spans="1:5" x14ac:dyDescent="0.25">
      <c r="A9" s="1" t="s">
        <v>281</v>
      </c>
      <c r="B9" s="1" t="s">
        <v>285</v>
      </c>
      <c r="C9" s="1" t="s">
        <v>286</v>
      </c>
      <c r="D9" s="1" t="s">
        <v>287</v>
      </c>
      <c r="E9" s="1" t="s">
        <v>288</v>
      </c>
    </row>
    <row r="10" spans="1:5" x14ac:dyDescent="0.25">
      <c r="A10" t="s">
        <v>289</v>
      </c>
      <c r="B10" t="s">
        <v>308</v>
      </c>
      <c r="D10" t="s">
        <v>290</v>
      </c>
      <c r="E10" t="str">
        <f ca="1">CONCATENATE($B$3,A10,B10)</f>
        <v>C:\Users\neild\Desktop\DIV2 Payroll Analysis\RAW DATA\UBER REPORT\</v>
      </c>
    </row>
    <row r="11" spans="1:5" x14ac:dyDescent="0.25">
      <c r="A11" t="s">
        <v>289</v>
      </c>
      <c r="B11" t="s">
        <v>291</v>
      </c>
      <c r="D11" t="s">
        <v>292</v>
      </c>
      <c r="E11" t="str">
        <f ca="1">CONCATENATE($B$3,A11,B11)</f>
        <v>C:\Users\neild\Desktop\DIV2 Payroll Analysis\RAW DATA\FIRST REPORT\</v>
      </c>
    </row>
    <row r="12" spans="1:5" x14ac:dyDescent="0.25">
      <c r="C12" t="s">
        <v>293</v>
      </c>
      <c r="D12" t="s">
        <v>294</v>
      </c>
      <c r="E12" t="str">
        <f ca="1">CONCATENATE($B$3,A12,B12,C12)</f>
        <v>C:\Users\neild\Desktop\DIV2 Payroll Analysis\Operator Deductions-Other Earnings.xlsx</v>
      </c>
    </row>
    <row r="13" spans="1:5" x14ac:dyDescent="0.25">
      <c r="C13" t="s">
        <v>295</v>
      </c>
      <c r="D13" t="s">
        <v>296</v>
      </c>
      <c r="E13" t="str">
        <f ca="1">CONCATENATE($B$4,B13,A13,C13)</f>
        <v>C:\Users\neild\Desktop\DIV2 Payroll Analysis\[DIV 2 Partner List.xlsx</v>
      </c>
    </row>
    <row r="14" spans="1:5" x14ac:dyDescent="0.25">
      <c r="C14" t="s">
        <v>297</v>
      </c>
      <c r="D14" t="s">
        <v>298</v>
      </c>
      <c r="E14" t="str">
        <f ca="1">CONCATENATE($B$4,B14,A14,C14)</f>
        <v>C:\Users\neild\Desktop\DIV2 Payroll Analysis\[DIV 2 Partner Rates.xlsx</v>
      </c>
    </row>
    <row r="15" spans="1:5" x14ac:dyDescent="0.25">
      <c r="C15" t="s">
        <v>299</v>
      </c>
      <c r="D15" t="s">
        <v>300</v>
      </c>
      <c r="E15" t="str">
        <f ca="1">CONCATENATE($B$4,B15,A15,C15)</f>
        <v>C:\Users\neild\Desktop\DIV2 Payroll Analysis\[DIV 2 Partner Change.xlsx</v>
      </c>
    </row>
    <row r="16" spans="1:5" x14ac:dyDescent="0.25">
      <c r="C16" t="s">
        <v>301</v>
      </c>
      <c r="D16" t="s">
        <v>302</v>
      </c>
      <c r="E16" t="str">
        <f ca="1">CONCATENATE($B$3,B16,A16,C16)</f>
        <v>C:\Users\neild\Desktop\DIV2 Payroll Analysis\MPG per vehicle.xlsx</v>
      </c>
    </row>
    <row r="17" spans="1:5" x14ac:dyDescent="0.25">
      <c r="C17" t="s">
        <v>303</v>
      </c>
      <c r="D17" t="s">
        <v>304</v>
      </c>
      <c r="E17" t="str">
        <f ca="1">CONCATENATE($B$3,B17,A17,C17)</f>
        <v>C:\Users\neild\Desktop\DIV2 Payroll Analysis\AAA Fuel Record.xlsx</v>
      </c>
    </row>
    <row r="18" spans="1:5" x14ac:dyDescent="0.25">
      <c r="A18" t="s">
        <v>289</v>
      </c>
      <c r="B18" t="s">
        <v>305</v>
      </c>
      <c r="D18" t="s">
        <v>306</v>
      </c>
      <c r="E18" t="str">
        <f ca="1">CONCATENATE($B$3,A18,B18)</f>
        <v>C:\Users\neild\Desktop\DIV2 Payroll Analysis\RAW DATA\Miles\</v>
      </c>
    </row>
    <row r="19" spans="1:5" x14ac:dyDescent="0.25">
      <c r="A19" t="s">
        <v>289</v>
      </c>
      <c r="B19" t="s">
        <v>24</v>
      </c>
      <c r="D19" t="s">
        <v>307</v>
      </c>
      <c r="E19" t="str">
        <f ca="1">CONCATENATE($B$3,A19,B19)</f>
        <v>C:\Users\neild\Desktop\DIV2 Payroll Analysis\RAW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E64BF6BD-D079-4CA8-8920-2E6E64D07374}">
  <ds:schemaRefs>
    <ds:schemaRef ds:uri="7da8d662-c373-4bdc-9a9f-4efd5212cc08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f2e4ee4-515b-4d13-9a18-91f5c892a786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F8E316F-644C-4C71-B90E-34DE3DD70C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D2019D6-EB03-4DBB-805D-0BFBA7873F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Deduction and other Revenue</vt:lpstr>
      <vt:lpstr>PR</vt:lpstr>
      <vt:lpstr>NewSheet</vt:lpstr>
      <vt:lpstr>VDPMVReport</vt:lpstr>
      <vt:lpstr>Sheet1</vt:lpstr>
      <vt:lpstr>SumVDPMVReport</vt:lpstr>
      <vt:lpstr>Div2PartnerOperatorCheck</vt:lpstr>
      <vt:lpstr>ExPre</vt:lpstr>
      <vt:lpstr>Div2PartnerListPR</vt:lpstr>
      <vt:lpstr>Div2PartnerList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Neil Andrews Dojeta</cp:lastModifiedBy>
  <cp:revision/>
  <dcterms:created xsi:type="dcterms:W3CDTF">2023-08-16T16:37:36Z</dcterms:created>
  <dcterms:modified xsi:type="dcterms:W3CDTF">2025-02-06T01:30:52Z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