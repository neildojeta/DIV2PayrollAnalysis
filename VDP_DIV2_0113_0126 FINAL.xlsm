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7.xml" ContentType="application/vnd.openxmlformats-officedocument.spreadsheetml.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ple_gi6luwz\Big Star Transit LLC Dropbox\Big Star Transit LLC Team Folder\A ACCOUNTING\2025 A VENDOR PAY\Processed VDP\2025\02.14.2025 VDP remittance\"/>
    </mc:Choice>
  </mc:AlternateContent>
  <xr:revisionPtr revIDLastSave="0" documentId="13_ncr:1_{195C502C-EA10-42C7-AE6C-88F7430E9408}" xr6:coauthVersionLast="47" xr6:coauthVersionMax="47" xr10:uidLastSave="{00000000-0000-0000-0000-000000000000}"/>
  <bookViews>
    <workbookView xWindow="3120" yWindow="2655" windowWidth="29430" windowHeight="18945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Tolls!$A$1:$G$5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35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2" l="1"/>
  <c r="T4" i="22" l="1"/>
  <c r="T5" i="22"/>
  <c r="T6" i="22"/>
  <c r="T7" i="22"/>
  <c r="T8" i="22"/>
  <c r="T9" i="22"/>
  <c r="T10" i="22"/>
  <c r="T11" i="22"/>
  <c r="T12" i="22"/>
  <c r="T13" i="22"/>
  <c r="R4" i="22"/>
  <c r="S4" i="22" s="1"/>
  <c r="R5" i="22"/>
  <c r="S5" i="22" s="1"/>
  <c r="R6" i="22"/>
  <c r="S6" i="22" s="1"/>
  <c r="R7" i="22"/>
  <c r="R8" i="22"/>
  <c r="S8" i="22" s="1"/>
  <c r="R9" i="22"/>
  <c r="S9" i="22" s="1"/>
  <c r="R10" i="22"/>
  <c r="R11" i="22"/>
  <c r="R12" i="22"/>
  <c r="S12" i="22" s="1"/>
  <c r="R13" i="22"/>
  <c r="S13" i="22" s="1"/>
  <c r="N13" i="22"/>
  <c r="N12" i="22"/>
  <c r="N11" i="22"/>
  <c r="N10" i="22"/>
  <c r="N9" i="22"/>
  <c r="N8" i="22"/>
  <c r="N7" i="22"/>
  <c r="N6" i="22"/>
  <c r="N5" i="22"/>
  <c r="N4" i="22"/>
  <c r="S11" i="22"/>
  <c r="S10" i="22"/>
  <c r="S7" i="22"/>
  <c r="F13" i="22"/>
  <c r="F12" i="22"/>
  <c r="F9" i="22"/>
  <c r="F8" i="22"/>
  <c r="F6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J20" i="12" s="1"/>
  <c r="N6" i="12" a="1"/>
  <c r="N6" i="12" s="1"/>
  <c r="N14" i="12" s="1"/>
  <c r="N17" i="12" s="1"/>
  <c r="N20" i="12" s="1"/>
  <c r="H6" i="12" a="1"/>
  <c r="H6" i="12" s="1"/>
  <c r="H14" i="12" s="1"/>
  <c r="H17" i="12" s="1"/>
  <c r="H20" i="12" s="1"/>
  <c r="L6" i="12" a="1"/>
  <c r="L6" i="12" s="1"/>
  <c r="L14" i="12" s="1"/>
  <c r="L17" i="12" s="1"/>
  <c r="L20" i="12" s="1"/>
  <c r="O6" i="12" a="1"/>
  <c r="O6" i="12" s="1"/>
  <c r="O14" i="12" s="1"/>
  <c r="O17" i="12" s="1"/>
  <c r="O20" i="12" s="1"/>
  <c r="I6" i="12" a="1"/>
  <c r="I6" i="12" s="1"/>
  <c r="I14" i="12" s="1"/>
  <c r="I17" i="12" s="1"/>
  <c r="I20" i="12" s="1"/>
  <c r="M6" i="12" a="1"/>
  <c r="M6" i="12" s="1"/>
  <c r="M14" i="12" s="1"/>
  <c r="M17" i="12" s="1"/>
  <c r="M20" i="12" s="1"/>
  <c r="P6" i="12" a="1"/>
  <c r="P6" i="12" s="1"/>
  <c r="P14" i="12" s="1"/>
  <c r="P17" i="12" s="1"/>
  <c r="P20" i="12" s="1"/>
  <c r="G6" i="12" a="1"/>
  <c r="G6" i="12" s="1"/>
  <c r="G14" i="12" s="1"/>
  <c r="G17" i="12" s="1"/>
  <c r="G20" i="12" s="1"/>
  <c r="K6" i="12" a="1"/>
  <c r="K6" i="12" s="1"/>
  <c r="K14" i="12" s="1"/>
  <c r="K17" i="12" s="1"/>
  <c r="K20" i="12" s="1"/>
  <c r="Q11" i="12"/>
  <c r="Q10" i="12"/>
  <c r="Q9" i="12"/>
  <c r="Q8" i="12"/>
  <c r="Q7" i="12"/>
  <c r="F6" i="12"/>
  <c r="F14" i="12" s="1"/>
  <c r="F17" i="12" s="1"/>
  <c r="F20" i="12" s="1"/>
  <c r="D14" i="12" l="1"/>
  <c r="D17" i="12" s="1"/>
  <c r="D20" i="12" s="1"/>
  <c r="H2" i="16" a="1"/>
  <c r="H2" i="16" s="1"/>
  <c r="Q6" i="12"/>
  <c r="Q14" i="12" s="1"/>
  <c r="Q17" i="12" s="1"/>
  <c r="Q20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<sst xmlns="http://schemas.openxmlformats.org/spreadsheetml/2006/main" count="1243" uniqueCount="377">
  <si>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</si>
  <si>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</si>
  <si>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</si>
  <si>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</si>
  <si>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</si>
  <si>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</si>
  <si>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</si>
  <si>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</si>
  <si>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</si>
  <si>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</si>
  <si>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</si>
  <si>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</si>
  <si>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</si>
  <si>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</si>
  <si>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</si>
  <si>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</si>
  <si>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</si>
  <si>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</si>
  <si>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</si>
  <si>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</si>
  <si>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</si>
  <si>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</si>
  <si>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</si>
  <si>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</si>
  <si>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</si>
  <si>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</si>
  <si>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</si>
  <si>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</si>
  <si>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</si>
  <si>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</si>
  <si>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</si>
  <si>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</si>
  <si>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</si>
  <si>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</si>
  <si>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</si>
  <si>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</si>
  <si>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</si>
  <si>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</si>
  <si>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</si>
  <si>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</si>
  <si>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</si>
  <si>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</si>
  <si>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</si>
  <si>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</si>
  <si>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</si>
  <si>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</si>
  <si>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</si>
  <si>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</si>
  <si>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</si>
  <si>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</si>
  <si>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</si>
  <si>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</si>
  <si>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</si>
  <si>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</si>
  <si>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</si>
  <si>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</si>
  <si>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</si>
  <si>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</si>
  <si>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</si>
  <si>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</si>
  <si>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</si>
  <si>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</si>
  <si>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</si>
  <si>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</si>
  <si>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</si>
  <si>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</si>
  <si>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</si>
  <si>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</si>
  <si>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</si>
  <si>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</si>
  <si>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</si>
  <si>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</si>
  <si>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</si>
  <si>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</si>
  <si>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</si>
  <si>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</si>
  <si>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</si>
  <si>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</si>
  <si>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</si>
  <si>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</si>
  <si>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</si>
  <si>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</si>
  <si>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</si>
  <si>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</si>
  <si>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</si>
  <si>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</si>
  <si>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</si>
  <si>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</si>
  <si>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</si>
  <si>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</si>
  <si>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</si>
  <si>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</si>
  <si>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</si>
  <si>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</si>
  <si>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</si>
  <si>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</si>
  <si>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</si>
  <si>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</si>
  <si>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</si>
  <si>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</si>
  <si>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</si>
  <si>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</si>
  <si>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</si>
  <si>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</si>
  <si>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</si>
  <si>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</si>
  <si>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</si>
  <si>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</si>
  <si>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</si>
  <si>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</si>
  <si>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</si>
  <si>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</si>
  <si>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</si>
  <si>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</si>
  <si>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</si>
  <si>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</si>
  <si>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</si>
  <si>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</si>
  <si>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</si>
  <si>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</si>
  <si>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</si>
  <si>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</si>
  <si>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</si>
  <si>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</si>
  <si>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</si>
  <si>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</si>
  <si>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</si>
  <si>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</si>
  <si>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</si>
  <si>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</si>
  <si>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</si>
  <si>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</si>
  <si>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</si>
  <si>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</si>
  <si>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</si>
  <si>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</si>
  <si>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</si>
  <si>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</si>
  <si>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</si>
  <si>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</si>
  <si>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</si>
  <si>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</si>
  <si>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</si>
  <si>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</si>
  <si>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</si>
  <si>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</si>
  <si>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</si>
  <si>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</si>
  <si>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</si>
  <si>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</si>
  <si>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</si>
  <si>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</si>
  <si>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</si>
  <si>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</si>
  <si>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</si>
  <si>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</si>
  <si>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</si>
  <si>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</si>
  <si>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</si>
  <si>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</si>
  <si>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</si>
  <si>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</si>
  <si>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</si>
  <si>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</si>
  <si>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</si>
  <si>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</si>
  <si>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</si>
  <si>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</si>
  <si>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</si>
  <si>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</si>
  <si>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</si>
  <si>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</si>
  <si>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</si>
  <si>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</si>
  <si>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</si>
  <si>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</si>
  <si>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</si>
  <si>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</si>
  <si>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</si>
  <si>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</si>
  <si>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</si>
  <si>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</si>
  <si>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</si>
  <si>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</si>
  <si>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</si>
  <si>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</si>
  <si>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</si>
  <si>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</si>
  <si>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</si>
  <si>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</si>
  <si>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</si>
  <si>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</si>
  <si>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</si>
  <si>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</si>
  <si>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</si>
  <si>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</si>
  <si>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</si>
  <si>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</si>
  <si>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</si>
  <si>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</si>
  <si>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</si>
  <si>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</si>
  <si>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</si>
  <si>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</si>
  <si>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</si>
  <si>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</si>
  <si>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</si>
  <si>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</si>
  <si>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</si>
  <si>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</si>
  <si>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</si>
  <si>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</si>
  <si>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</si>
  <si>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</si>
  <si>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</si>
  <si>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</si>
  <si>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</si>
  <si>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</si>
  <si>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</si>
  <si>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</si>
  <si>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</si>
  <si>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</si>
  <si>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</si>
  <si>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</si>
  <si>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</si>
  <si>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</si>
  <si>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</si>
  <si>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</si>
  <si>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</si>
  <si>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</si>
  <si>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</si>
  <si>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</si>
  <si>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</si>
  <si>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</si>
  <si>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</si>
  <si>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</si>
  <si>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</si>
  <si>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</si>
  <si>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</si>
  <si>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</si>
  <si>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</si>
  <si>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</si>
  <si>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</si>
  <si>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</si>
  <si>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</si>
  <si>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</si>
  <si>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</si>
  <si>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</si>
  <si>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</si>
  <si>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</si>
  <si>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</si>
  <si>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</si>
  <si>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</si>
  <si>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</si>
  <si>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</si>
  <si>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</si>
  <si>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</si>
  <si>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</si>
  <si>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</si>
  <si>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</si>
  <si>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</si>
  <si>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</si>
  <si>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</si>
  <si>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</si>
  <si>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</si>
  <si>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</si>
  <si>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</si>
  <si>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</si>
  <si>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</si>
  <si>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</si>
  <si>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</si>
  <si>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</si>
  <si>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</si>
  <si>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</si>
  <si>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</si>
  <si>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</si>
  <si>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</si>
  <si>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</si>
  <si>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</si>
  <si>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</si>
  <si>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</si>
  <si>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</si>
  <si>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</si>
  <si>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</si>
  <si>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</si>
  <si>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</si>
  <si>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</si>
  <si>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</si>
  <si>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</si>
  <si>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</si>
  <si>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</si>
  <si>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</si>
  <si>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</si>
  <si>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</si>
  <si>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</si>
  <si>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</si>
  <si>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</si>
  <si>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</si>
  <si>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</si>
  <si>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</si>
  <si>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</si>
  <si>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</si>
  <si>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</si>
  <si>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</si>
  <si>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</si>
  <si>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</si>
  <si>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</si>
  <si>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</si>
  <si>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</si>
  <si>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</si>
  <si>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</si>
  <si>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</si>
  <si>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</si>
  <si>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</si>
  <si>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</si>
  <si>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</si>
  <si>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</si>
  <si>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</si>
  <si>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</si>
  <si>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</si>
  <si>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</si>
  <si>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</si>
  <si>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</si>
  <si>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</si>
  <si>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</si>
  <si>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</si>
  <si>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</si>
  <si>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</si>
  <si>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</si>
  <si>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</si>
  <si>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</si>
  <si>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</si>
  <si>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</si>
  <si>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</si>
  <si>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</si>
  <si>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</si>
  <si>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</si>
  <si>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</si>
  <si>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</si>
  <si>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</si>
  <si>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</si>
  <si>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</si>
  <si>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</si>
  <si>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</si>
  <si>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</si>
  <si>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</si>
  <si>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</si>
  <si>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</si>
  <si>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</si>
  <si>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</si>
  <si>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</si>
  <si>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</si>
  <si>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</si>
  <si>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</si>
  <si>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</si>
  <si>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</si>
  <si>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</si>
  <si>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</si>
  <si>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</si>
  <si>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</si>
  <si>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</si>
  <si>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</si>
  <si>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</si>
  <si>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</si>
  <si>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</si>
  <si>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</si>
  <si>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</si>
  <si>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</si>
  <si>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</si>
  <si>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</si>
  <si>
    <t>Required Hours</t>
  </si>
  <si>
    <t>Payable Hours</t>
  </si>
  <si>
    <t>Allowed Hours</t>
  </si>
  <si>
    <t>Unapproved Extra hours</t>
  </si>
  <si>
    <t>Percentage</t>
  </si>
  <si>
    <t>Previous VDP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</si>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</sst>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8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8" fontId="9" fillId="0" borderId="3" xfId="0" applyNumberFormat="1" applyFont="1" applyBorder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4" fontId="6" fillId="4" borderId="9" xfId="0" applyNumberFormat="1" applyFont="1" applyFill="1" applyBorder="1" applyAlignment="1">
      <alignment horizontal="center" vertical="center" wrapText="1" readingOrder="1"/>
    </xf>
    <xf numFmtId="164" fontId="1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4" fontId="15" fillId="0" borderId="0" xfId="7" applyNumberFormat="1" applyAlignment="1">
      <alignment horizontal="center"/>
    </xf>
    <xf numFmtId="164" fontId="15" fillId="0" borderId="0" xfId="7" quotePrefix="1" applyNumberFormat="1" applyAlignment="1">
      <alignment horizontal="center"/>
    </xf>
    <xf numFmtId="164" fontId="15" fillId="0" borderId="0" xfId="6" applyNumberFormat="1" applyFont="1" applyAlignment="1" applyProtection="1">
      <alignment horizontal="center"/>
    </xf>
    <xf numFmtId="164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4" fontId="8" fillId="2" borderId="0" xfId="7" applyNumberFormat="1" applyFont="1" applyFill="1" applyAlignment="1">
      <alignment horizontal="center"/>
    </xf>
    <xf numFmtId="164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4" fontId="8" fillId="0" borderId="13" xfId="0" applyNumberFormat="1" applyFont="1" applyBorder="1" applyAlignment="1">
      <alignment horizontal="left" vertical="center"/>
    </xf>
    <xf numFmtId="164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vertical="center"/>
    </xf>
    <xf numFmtId="164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4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7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5" fontId="0" fillId="0" borderId="0" xfId="11" applyNumberFormat="1" applyFont="1"/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6" xfId="0" applyBorder="1"/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29" xfId="0" applyBorder="1" applyAlignment="1">
      <alignment horizontal="center"/>
    </xf>
    <xf numFmtId="165" fontId="0" fillId="0" borderId="0" xfId="11" applyNumberFormat="1" applyFont="1" applyFill="1" applyAlignment="1">
      <alignment horizontal="center"/>
    </xf>
    <xf numFmtId="165" fontId="0" fillId="0" borderId="0" xfId="11" applyNumberFormat="1" applyFont="1" applyFill="1"/>
    <xf numFmtId="1" fontId="0" fillId="0" borderId="27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0" fontId="0" fillId="0" borderId="24" xfId="0" applyBorder="1" applyAlignment="1">
      <alignment wrapText="1"/>
    </xf>
    <xf numFmtId="9" fontId="0" fillId="0" borderId="24" xfId="10" applyFont="1" applyBorder="1" applyAlignment="1">
      <alignment horizontal="center"/>
    </xf>
    <xf numFmtId="9" fontId="0" fillId="0" borderId="22" xfId="10" applyFont="1" applyBorder="1" applyAlignment="1">
      <alignment horizontal="center"/>
    </xf>
    <xf numFmtId="9" fontId="0" fillId="0" borderId="29" xfId="10" applyFont="1" applyBorder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7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99.40165162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12.93" maxValue="223.76000000000002" count="51">
        <n v="50.15"/>
        <n v="220.63999999999996"/>
        <n v="201.35000000000002"/>
        <n v="40.46"/>
        <n v="101.46000000000001"/>
        <n v="50.01"/>
        <n v="220.75"/>
        <n v="203.66000000000003"/>
        <n v="12.93"/>
        <n v="106.31"/>
        <n v="50" u="1"/>
        <n v="208.62" u="1"/>
        <n v="223.76000000000002" u="1"/>
        <n v="25.8" u="1"/>
        <n v="104.2" u="1"/>
        <n v="50.45" u="1"/>
        <n v="221.45" u="1"/>
        <n v="206.96" u="1"/>
        <n v="50.050000000000004" u="1"/>
        <n v="99.48" u="1"/>
        <n v="23.63" u="1"/>
        <n v="209.74" u="1"/>
        <n v="190.32" u="1"/>
        <n v="50.22" u="1"/>
        <n v="83.74" u="1"/>
        <n v="24.35" u="1"/>
        <n v="221.13" u="1"/>
        <n v="205.48" u="1"/>
        <n v="26.38" u="1"/>
        <n v="106.97" u="1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12.93" maxValue="140" count="20">
        <n v="50"/>
        <n v="140"/>
        <n v="40.46"/>
        <n v="70"/>
        <n v="12.93"/>
        <n v="25.8" u="1"/>
        <n v="50.050000000000004" u="1"/>
        <n v="23.63" u="1"/>
        <n v="50.22" u="1"/>
        <n v="24.35" u="1"/>
        <n v="26.38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32">
        <n v="0"/>
        <n v="80"/>
        <n v="61.350000000000023"/>
        <n v="31"/>
        <n v="63.660000000000025"/>
        <n v="36"/>
        <n v="30" u="1"/>
        <n v="68.62" u="1"/>
        <n v="34.200000000000003" u="1"/>
        <n v="66.960000000000008" u="1"/>
        <n v="29.480000000000004" u="1"/>
        <n v="40" u="1"/>
        <n v="70" u="1"/>
        <n v="15" u="1"/>
        <n v="65" u="1"/>
        <n v="69.740000000000009" u="1"/>
        <n v="50.319999999999993" u="1"/>
        <n v="13.739999999999995" u="1"/>
        <n v="65.47999999999999" u="1"/>
        <n v="36.97" u="1"/>
        <n v="71.940000000000026" u="1"/>
        <n v="36.70999999999998" u="1"/>
        <n v="26.739999999999995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2586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03.8524000000001"/>
    </cacheField>
    <cacheField name="CHI Tier 3 Rev" numFmtId="0">
      <sharedItems containsSemiMixedTypes="0" containsString="0" containsNumber="1" minValue="0" maxValue="347.14450000000005"/>
    </cacheField>
    <cacheField name="Acceptance Rate" numFmtId="0">
      <sharedItems containsSemiMixedTypes="0" containsString="0" containsNumber="1" minValue="0.91346153846153799" maxValue="1"/>
    </cacheField>
    <cacheField name="Cancellation Rate" numFmtId="0">
      <sharedItems containsSemiMixedTypes="0" containsString="0" containsNumber="1" minValue="5.40540540540541E-3" maxValue="3.90625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0.72570703408266901" maxValue="0.99226604795050299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36.81" maxValue="225.62"/>
    </cacheField>
    <cacheField name="Tolls" numFmtId="0">
      <sharedItems containsSemiMixedTypes="0" containsString="0" containsNumber="1" minValue="0" maxValue="2.15"/>
    </cacheField>
    <cacheField name="CHI Non-KPI" numFmtId="0">
      <sharedItems containsSemiMixedTypes="0" containsString="0" containsNumber="1" minValue="0" maxValue="839.33"/>
    </cacheField>
    <cacheField name="Total Rev" numFmtId="0">
      <sharedItems containsSemiMixedTypes="0" containsString="0" containsNumber="1" minValue="302.39" maxValue="7915.62"/>
    </cacheField>
    <cacheField name="Payable Online Hours" numFmtId="0">
      <sharedItems containsSemiMixedTypes="0" containsString="0" containsNumber="1" minValue="12.9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4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6"/>
    </cacheField>
    <cacheField name="Week" numFmtId="14">
      <sharedItems containsSemiMixedTypes="0" containsNonDate="0" containsDate="1" containsString="0" minDate="2025-01-13T00:00:00" maxDate="2025-01-21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30" maxValue="398"/>
    </cacheField>
    <cacheField name="Total Supply Hours" numFmtId="0">
      <sharedItems containsSemiMixedTypes="0" containsString="0" containsNumber="1" minValue="12.93" maxValue="220.98"/>
    </cacheField>
    <cacheField name="Paused Hours" numFmtId="0">
      <sharedItems containsSemiMixedTypes="0" containsString="0" containsNumber="1" minValue="0" maxValue="7.7299999999999995"/>
    </cacheField>
    <cacheField name="WAV Trips" numFmtId="0">
      <sharedItems containsSemiMixedTypes="0" containsString="0" containsNumber="1" containsInteger="1" minValue="6" maxValue="58"/>
    </cacheField>
    <cacheField name="Non WAV Trips" numFmtId="0">
      <sharedItems containsSemiMixedTypes="0" containsString="0" containsNumber="1" containsInteger="1" minValue="24" maxValue="352"/>
    </cacheField>
    <cacheField name="Utilized Hours" numFmtId="0">
      <sharedItems containsSemiMixedTypes="0" containsString="0" containsNumber="1" minValue="12.83" maxValue="180.32"/>
    </cacheField>
    <cacheField name="Open Hours" numFmtId="0">
      <sharedItems containsSemiMixedTypes="0" containsString="0" containsNumber="1" minValue="0.09" maxValue="60.52"/>
    </cacheField>
    <cacheField name="Core Total Supply Hours" numFmtId="0">
      <sharedItems containsSemiMixedTypes="0" containsString="0" containsNumber="1" minValue="9.43" maxValue="83.39"/>
    </cacheField>
    <cacheField name="Core Utilized Hours" numFmtId="0">
      <sharedItems containsSemiMixedTypes="0" containsString="0" containsNumber="1" minValue="9.3800000000000008" maxValue="75.55"/>
    </cacheField>
    <cacheField name="Trips Per Hours" numFmtId="0">
      <sharedItems containsSemiMixedTypes="0" containsString="0" containsNumber="1" minValue="2.06" maxValue="13.02"/>
    </cacheField>
    <cacheField name="Total Accepts" numFmtId="0">
      <sharedItems containsSemiMixedTypes="0" containsString="0" containsNumber="1" containsInteger="1" minValue="31" maxValue="449"/>
    </cacheField>
    <cacheField name="Total Rejects" numFmtId="0">
      <sharedItems containsSemiMixedTypes="0" containsString="0" containsNumber="1" containsInteger="1" minValue="0" maxValue="11"/>
    </cacheField>
    <cacheField name="Total Cancels" numFmtId="0">
      <sharedItems containsSemiMixedTypes="0" containsString="0" containsNumber="1" containsInteger="1" minValue="1" maxValue="7"/>
    </cacheField>
    <cacheField name="KPI Hours" numFmtId="0">
      <sharedItems containsSemiMixedTypes="0" containsString="0" containsNumber="1" minValue="12.93" maxValue="194.919999999999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containsInteger="1" minValue="0" maxValue="101"/>
    </cacheField>
    <cacheField name="Driver Earnings Excl Tips" numFmtId="0">
      <sharedItems containsSemiMixedTypes="0" containsString="0" containsNumber="1" minValue="265.58" maxValue="4134.78999999999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3076923076923099E-2"/>
    <n v="157.25"/>
    <n v="0"/>
    <n v="0.96570289132602205"/>
    <n v="78.625"/>
    <n v="53.35"/>
    <n v="0"/>
    <n v="0"/>
    <n v="1625.85"/>
    <n v="50"/>
    <n v="50"/>
    <n v="314.5"/>
    <n v="0"/>
    <n v="50"/>
    <n v="0"/>
    <n v="157.25"/>
    <n v="0"/>
    <d v="2025-01-13T00:00:00"/>
    <x v="0"/>
    <n v="111"/>
    <n v="50.15"/>
    <n v="0"/>
    <n v="11"/>
    <n v="100"/>
    <n v="48.43"/>
    <n v="1.72"/>
    <n v="10.34"/>
    <n v="10.08"/>
    <n v="2.21"/>
    <n v="130"/>
    <n v="0"/>
    <n v="3"/>
    <n v="50.1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019.9"/>
  </r>
  <r>
    <x v="0"/>
    <n v="220"/>
    <x v="1"/>
    <x v="1"/>
    <x v="1"/>
    <n v="1"/>
    <n v="2866.5"/>
    <n v="2132"/>
    <n v="1538.0000000000002"/>
    <n v="0"/>
    <n v="0"/>
    <n v="0.99206349206349198"/>
    <n v="1.0666666666666699E-2"/>
    <n v="769"/>
    <n v="0"/>
    <n v="0.72570703408266901"/>
    <n v="384.5"/>
    <n v="118.37"/>
    <n v="0"/>
    <n v="0"/>
    <n v="7808.37"/>
    <n v="220"/>
    <n v="220"/>
    <n v="1538"/>
    <n v="1"/>
    <n v="220"/>
    <n v="0"/>
    <n v="769"/>
    <n v="0"/>
    <d v="2025-01-13T00:00:00"/>
    <x v="1"/>
    <n v="332"/>
    <n v="220.91999999999996"/>
    <n v="0.27999999999999997"/>
    <n v="46"/>
    <n v="286"/>
    <n v="160.12"/>
    <n v="60.52"/>
    <n v="67.59"/>
    <n v="60.82"/>
    <n v="10.409999999999998"/>
    <n v="375"/>
    <n v="2"/>
    <n v="4"/>
    <n v="194.919999999999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110.409999999998"/>
  </r>
  <r>
    <x v="0"/>
    <n v="210"/>
    <x v="2"/>
    <x v="1"/>
    <x v="2"/>
    <n v="0.958809523809524"/>
    <n v="2861.95"/>
    <n v="1650.9285"/>
    <n v="0"/>
    <n v="0"/>
    <n v="347.14450000000005"/>
    <n v="0.96543209876543201"/>
    <n v="1.5345268542199499E-2"/>
    <n v="694.28899999999999"/>
    <n v="0"/>
    <n v="0.86858703749689603"/>
    <n v="347.14449999999999"/>
    <n v="98.89"/>
    <n v="2.0499999999999998"/>
    <n v="0"/>
    <n v="6002.3964999999998"/>
    <n v="201.35000000000002"/>
    <n v="210"/>
    <n v="347.14449999999999"/>
    <n v="14"/>
    <n v="201.35000000000002"/>
    <n v="0"/>
    <n v="694.28899999999999"/>
    <n v="0"/>
    <d v="2025-01-13T00:00:00"/>
    <x v="2"/>
    <n v="349"/>
    <n v="209.08"/>
    <n v="7.7299999999999995"/>
    <n v="58"/>
    <n v="291"/>
    <n v="174.89000000000001"/>
    <n v="26.439999999999994"/>
    <n v="83.39"/>
    <n v="75.55"/>
    <n v="11.430000000000001"/>
    <n v="391"/>
    <n v="0"/>
    <n v="6"/>
    <n v="80.19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770.1899999999969"/>
  </r>
  <r>
    <x v="0"/>
    <n v="50"/>
    <x v="3"/>
    <x v="2"/>
    <x v="0"/>
    <n v="0.80920000000000003"/>
    <n v="0"/>
    <n v="0"/>
    <n v="0"/>
    <n v="0"/>
    <n v="0"/>
    <n v="0.95327102803738295"/>
    <n v="1.9607843137254902E-2"/>
    <n v="0"/>
    <n v="0"/>
    <n v="0.90336134453781503"/>
    <n v="0"/>
    <n v="67.069999999999993"/>
    <n v="1.5"/>
    <n v="839.33"/>
    <n v="907.9"/>
    <n v="40.46"/>
    <n v="50"/>
    <n v="0"/>
    <n v="0"/>
    <n v="40.46"/>
    <n v="0"/>
    <n v="0"/>
    <n v="0"/>
    <d v="2025-01-13T00:00:00"/>
    <x v="3"/>
    <n v="84"/>
    <n v="40.79"/>
    <n v="0.33"/>
    <n v="13"/>
    <n v="71"/>
    <n v="36.549999999999997"/>
    <n v="3.91"/>
    <n v="14.73"/>
    <n v="14.27"/>
    <n v="2.06"/>
    <n v="102"/>
    <n v="5"/>
    <n v="2"/>
    <n v="40.46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839.33"/>
  </r>
  <r>
    <x v="0"/>
    <n v="101"/>
    <x v="4"/>
    <x v="3"/>
    <x v="3"/>
    <n v="1"/>
    <n v="1430.9749999999999"/>
    <n v="834.21"/>
    <n v="696.98"/>
    <n v="0"/>
    <n v="0"/>
    <n v="0.91346153846153799"/>
    <n v="2.6315789473684199E-2"/>
    <n v="0"/>
    <n v="0"/>
    <n v="0.79114922136802701"/>
    <n v="174.245"/>
    <n v="102.74"/>
    <n v="2.15"/>
    <n v="0"/>
    <n v="3241.3"/>
    <n v="101"/>
    <n v="100"/>
    <n v="696.98"/>
    <n v="7"/>
    <n v="0"/>
    <n v="0"/>
    <n v="0"/>
    <n v="1"/>
    <d v="2025-01-13T00:00:00"/>
    <x v="4"/>
    <n v="165"/>
    <n v="102.72"/>
    <n v="1.26"/>
    <n v="29"/>
    <n v="136"/>
    <n v="80.27"/>
    <n v="21.18"/>
    <n v="46.52"/>
    <n v="38.79"/>
    <n v="4.71"/>
    <n v="190"/>
    <n v="11"/>
    <n v="5"/>
    <n v="38.660000000000004"/>
    <m/>
    <n v="0.1"/>
    <n v="0.05"/>
    <n v="0.7"/>
    <n v="31.45"/>
    <n v="41.4"/>
    <n v="0.65"/>
    <n v="0.98"/>
    <n v="0.96"/>
    <n v="0.94"/>
    <n v="0.2"/>
    <n v="0.1"/>
    <n v="0.05"/>
    <n v="0.05"/>
    <n v="70"/>
    <n v="101"/>
    <n v="1728.0199999999979"/>
  </r>
  <r>
    <x v="1"/>
    <n v="50"/>
    <x v="5"/>
    <x v="0"/>
    <x v="0"/>
    <n v="1"/>
    <n v="1022.125"/>
    <n v="0"/>
    <n v="314.5"/>
    <n v="0"/>
    <n v="0"/>
    <n v="0.99224806201550397"/>
    <n v="3.90625E-2"/>
    <n v="157.25"/>
    <n v="0"/>
    <n v="0.96600679864027195"/>
    <n v="78.625"/>
    <n v="68.06"/>
    <n v="0"/>
    <n v="0"/>
    <n v="1640.56"/>
    <n v="50"/>
    <n v="50"/>
    <n v="314.5"/>
    <n v="0"/>
    <n v="50"/>
    <n v="0"/>
    <n v="157.25"/>
    <n v="0"/>
    <d v="2025-01-20T00:00:00"/>
    <x v="0"/>
    <n v="107"/>
    <n v="50.01"/>
    <n v="0"/>
    <n v="8"/>
    <n v="99"/>
    <n v="48.31"/>
    <n v="1.69"/>
    <n v="10.45"/>
    <n v="10.210000000000001"/>
    <n v="2.14"/>
    <n v="128"/>
    <n v="1"/>
    <n v="5"/>
    <n v="50.01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030.8699999999999"/>
  </r>
  <r>
    <x v="1"/>
    <n v="220"/>
    <x v="6"/>
    <x v="1"/>
    <x v="1"/>
    <n v="1"/>
    <n v="2866.5"/>
    <n v="2132"/>
    <n v="1538.0000000000002"/>
    <n v="0"/>
    <n v="0"/>
    <n v="0.99556541019955602"/>
    <n v="1.1135857461024501E-2"/>
    <n v="769"/>
    <n v="0"/>
    <n v="0.73775764439411096"/>
    <n v="384.5"/>
    <n v="225.62"/>
    <n v="0"/>
    <n v="0"/>
    <n v="7915.62"/>
    <n v="220"/>
    <n v="220"/>
    <n v="1538"/>
    <n v="1"/>
    <n v="220"/>
    <n v="0"/>
    <n v="769"/>
    <n v="0"/>
    <d v="2025-01-20T00:00:00"/>
    <x v="1"/>
    <n v="395"/>
    <n v="220.98"/>
    <n v="0.23"/>
    <n v="58"/>
    <n v="337"/>
    <n v="162.86000000000001"/>
    <n v="57.89"/>
    <n v="67.569999999999993"/>
    <n v="52.03"/>
    <n v="10.590000000000002"/>
    <n v="449"/>
    <n v="1"/>
    <n v="5"/>
    <n v="174.75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506.2199999999975"/>
  </r>
  <r>
    <x v="1"/>
    <n v="210"/>
    <x v="7"/>
    <x v="1"/>
    <x v="4"/>
    <n v="0.96980952380952401"/>
    <n v="2861.95"/>
    <n v="1713.0906"/>
    <n v="0"/>
    <n v="703.8524000000001"/>
    <n v="0"/>
    <n v="0.98210290827740498"/>
    <n v="1.5945330296127599E-2"/>
    <n v="703.85239999999999"/>
    <n v="0"/>
    <n v="0.885397230678582"/>
    <n v="351.92619999999999"/>
    <n v="146.08000000000001"/>
    <n v="0"/>
    <n v="0"/>
    <n v="6480.7515999999996"/>
    <n v="203.66000000000003"/>
    <n v="210"/>
    <n v="703.85239999999999"/>
    <n v="7"/>
    <n v="203.66000000000003"/>
    <n v="0"/>
    <n v="703.85239999999999"/>
    <n v="0"/>
    <d v="2025-01-20T00:00:00"/>
    <x v="2"/>
    <n v="398"/>
    <n v="210.48000000000002"/>
    <n v="6.8199999999999994"/>
    <n v="46"/>
    <n v="352"/>
    <n v="180.32"/>
    <n v="23.34"/>
    <n v="82.88"/>
    <n v="73.649999999999991"/>
    <n v="13.02"/>
    <n v="439"/>
    <n v="1"/>
    <n v="7"/>
    <n v="183.42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134.7899999999972"/>
  </r>
  <r>
    <x v="1"/>
    <n v="50"/>
    <x v="8"/>
    <x v="4"/>
    <x v="0"/>
    <n v="0.2586"/>
    <n v="0"/>
    <n v="0"/>
    <n v="0"/>
    <n v="0"/>
    <n v="0"/>
    <n v="0.96875"/>
    <n v="3.2258064516128997E-2"/>
    <n v="0"/>
    <n v="0"/>
    <n v="0.99226604795050299"/>
    <n v="0"/>
    <n v="36.81"/>
    <n v="0"/>
    <n v="265.58"/>
    <n v="302.39"/>
    <n v="12.93"/>
    <n v="50"/>
    <n v="0"/>
    <n v="0"/>
    <n v="12.93"/>
    <n v="0"/>
    <n v="0"/>
    <n v="0"/>
    <d v="2025-01-20T00:00:00"/>
    <x v="3"/>
    <n v="30"/>
    <n v="12.93"/>
    <n v="0"/>
    <n v="6"/>
    <n v="24"/>
    <n v="12.83"/>
    <n v="0.09"/>
    <n v="9.43"/>
    <n v="9.3800000000000008"/>
    <n v="2.3199999999999998"/>
    <n v="31"/>
    <n v="1"/>
    <n v="1"/>
    <n v="12.9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265.58"/>
  </r>
  <r>
    <x v="1"/>
    <n v="106"/>
    <x v="9"/>
    <x v="3"/>
    <x v="5"/>
    <n v="1"/>
    <n v="1430.9749999999999"/>
    <n v="968.76"/>
    <n v="738.38"/>
    <n v="0"/>
    <n v="0"/>
    <n v="0.95360824742268002"/>
    <n v="5.40540540540541E-3"/>
    <n v="369.19"/>
    <n v="0"/>
    <n v="0.73182202991251999"/>
    <n v="184.595"/>
    <n v="77.3"/>
    <n v="0"/>
    <n v="0"/>
    <n v="3769.2"/>
    <n v="106"/>
    <n v="100"/>
    <n v="738.38"/>
    <n v="8"/>
    <n v="106"/>
    <n v="0"/>
    <n v="369.19"/>
    <n v="6"/>
    <d v="2025-01-20T00:00:00"/>
    <x v="4"/>
    <n v="169"/>
    <n v="107"/>
    <n v="0.69"/>
    <n v="23"/>
    <n v="146"/>
    <n v="77.800000000000011"/>
    <n v="28.490000000000002"/>
    <n v="50.94"/>
    <n v="35.94"/>
    <n v="4.71"/>
    <n v="185"/>
    <n v="1"/>
    <n v="1"/>
    <n v="81.8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695.10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35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1">
        <item m="1" x="49"/>
        <item m="1" x="44"/>
        <item m="1" x="46"/>
        <item m="1" x="41"/>
        <item m="1" x="45"/>
        <item m="1" x="50"/>
        <item m="1" x="47"/>
        <item m="1" x="42"/>
        <item m="1" x="48"/>
        <item m="1" x="43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40"/>
        <item m="1" x="3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m="1" x="19"/>
        <item m="1" x="18"/>
        <item x="0"/>
        <item m="1" x="17"/>
        <item x="3"/>
        <item x="1"/>
        <item m="1" x="15"/>
        <item m="1" x="11"/>
        <item m="1" x="12"/>
        <item m="1" x="13"/>
        <item m="1" x="16"/>
        <item m="1" x="14"/>
        <item m="1" x="7"/>
        <item m="1" x="8"/>
        <item m="1" x="9"/>
        <item m="1" x="10"/>
        <item m="1" x="5"/>
        <item m="1" x="6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0"/>
        <item m="1" x="28"/>
        <item m="1" x="31"/>
        <item m="1" x="29"/>
        <item m="1" x="25"/>
        <item m="1" x="30"/>
        <item m="1" x="27"/>
        <item m="1" x="26"/>
        <item m="1" x="20"/>
        <item m="1" x="21"/>
        <item m="1" x="24"/>
        <item x="1"/>
        <item m="1" x="23"/>
        <item m="1" x="12"/>
        <item m="1" x="22"/>
        <item m="1" x="15"/>
        <item m="1" x="11"/>
        <item m="1" x="17"/>
        <item m="1" x="18"/>
        <item m="1" x="6"/>
        <item m="1" x="16"/>
        <item m="1" x="19"/>
        <item m="1" x="13"/>
        <item m="1" x="14"/>
        <item m="1" x="10"/>
        <item m="1" x="7"/>
        <item m="1" x="8"/>
        <item m="1" x="9"/>
        <item x="2"/>
        <item x="4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41"/>
      <x v="2"/>
      <x/>
    </i>
    <i r="1">
      <x v="1"/>
      <x v="46"/>
      <x v="2"/>
      <x/>
    </i>
    <i>
      <x v="1"/>
      <x/>
      <x v="43"/>
      <x v="5"/>
      <x v="28"/>
    </i>
    <i r="1">
      <x v="1"/>
      <x v="48"/>
      <x v="5"/>
      <x v="29"/>
    </i>
    <i>
      <x v="2"/>
      <x/>
      <x v="44"/>
      <x v="18"/>
      <x/>
    </i>
    <i r="1">
      <x v="1"/>
      <x v="49"/>
      <x v="19"/>
      <x/>
    </i>
    <i>
      <x v="3"/>
      <x/>
      <x v="42"/>
      <x v="5"/>
      <x v="11"/>
    </i>
    <i r="1">
      <x v="1"/>
      <x v="47"/>
      <x v="5"/>
      <x v="11"/>
    </i>
    <i>
      <x v="4"/>
      <x/>
      <x v="45"/>
      <x v="4"/>
      <x v="30"/>
    </i>
    <i r="1">
      <x v="1"/>
      <x v="50"/>
      <x v="4"/>
      <x v="3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46" dataDxfId="45">
  <tableColumns count="9">
    <tableColumn id="1" xr3:uid="{6E8F3551-4DCE-46CE-BD28-51A8302E87CB}" name="Type" dataDxfId="44"/>
    <tableColumn id="2" xr3:uid="{5404B4C5-ECEF-4C1F-8A18-BC9D8BE1C71B}" name="Start" dataDxfId="43"/>
    <tableColumn id="3" xr3:uid="{ED569C2B-A42E-43C5-A2F6-A3987EE52677}" name="End" dataDxfId="42"/>
    <tableColumn id="8" xr3:uid="{7528310C-79CF-4C2C-A6A6-945EB7C53D6F}" name="Week#" dataDxfId="41"/>
    <tableColumn id="9" xr3:uid="{F2617BD1-87E6-401A-9CEE-DF2A049276C1}" name="Per Normal Hour" dataDxfId="40"/>
    <tableColumn id="10" xr3:uid="{6AF37710-9F7B-4387-9CC2-103D69851C62}" name="Per Bonus Hour" dataDxfId="39"/>
    <tableColumn id="6" xr3:uid="{AE3F7AE3-B9B7-4FBD-BECC-F855DB3120A1}" name="Utilization Target" dataDxfId="38"/>
    <tableColumn id="4" xr3:uid="{76EDF2B3-48C2-41BC-8C8B-1E1DA27282E5}" name="Tier 1 ARDCRI Rate" dataDxfId="37" dataCellStyle="Percent"/>
    <tableColumn id="5" xr3:uid="{623BF9A5-9791-48A7-A063-0FCE89090301}" name="Tier 2 ARDCRI Rate" dataDxfId="36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35"/>
    <tableColumn id="7" xr3:uid="{6391F556-8AFE-459C-94D5-77F89EDE79EE}" uniqueName="7" name="UNIT" queryTableFieldId="16" dataDxfId="34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3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32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BAFFD-1DAF-4021-BA56-733C7872BAE6}" name="Table1" displayName="Table1" ref="J3:T13" totalsRowShown="0" headerRowDxfId="31" headerRowBorderDxfId="30" tableBorderDxfId="29" totalsRowBorderDxfId="28">
  <autoFilter ref="J3:T13" xr:uid="{FECBAFFD-1DAF-4021-BA56-733C7872BAE6}"/>
  <tableColumns count="11">
    <tableColumn id="1" xr3:uid="{ED532F73-A4F9-4B64-9B25-B19E540FB804}" name="PARTNER NAME" dataDxfId="27"/>
    <tableColumn id="2" xr3:uid="{8452393E-E130-46CD-BB9B-F88E9D7DDA66}" name="WeekN" dataDxfId="26"/>
    <tableColumn id="3" xr3:uid="{1AB75664-5EB0-4BAE-B4FA-864B78A0362D}" name="Required Hours" dataDxfId="25"/>
    <tableColumn id="10" xr3:uid="{4C9C6474-D3C0-4616-9258-11D958196595}" name="Approved Extra Hours" dataDxfId="24"/>
    <tableColumn id="4" xr3:uid="{5ECF81CF-405D-4DE6-8FDC-6EAC0C42A567}" name="Allowed Hours" dataDxfId="23">
      <calculatedColumnFormula>+L4+M4</calculatedColumnFormula>
    </tableColumn>
    <tableColumn id="5" xr3:uid="{0EBB2235-A2A5-4290-B1A4-567556D55C2D}" name="Online Hours" dataDxfId="22"/>
    <tableColumn id="6" xr3:uid="{EE4F8652-E3BA-4FF6-B712-7DD1DECA4084}" name="Payable Normal Hours" dataDxfId="21"/>
    <tableColumn id="7" xr3:uid="{33C254F0-C3E6-49B1-AEFD-2C4A0093C1BD}" name="Payable Bonus Hours" dataDxfId="20"/>
    <tableColumn id="8" xr3:uid="{BF572C91-C017-4F09-AC26-41DE0FFD0B08}" name="Payable Hours" dataDxfId="19">
      <calculatedColumnFormula>+P4+Q4</calculatedColumnFormula>
    </tableColumn>
    <tableColumn id="9" xr3:uid="{B7EA109D-134C-46BB-8ABC-F613C4BFEAEF}" name="Unapproved Extra hours" dataDxfId="18">
      <calculatedColumnFormula>+O4-R4</calculatedColumnFormula>
    </tableColumn>
    <tableColumn id="11" xr3:uid="{4F8FEB9A-8035-42BE-AF97-47E9FA0E2021}" name="Percentage" dataDxfId="17" dataCellStyle="Percent">
      <calculatedColumnFormula>+O4/L4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5" tableType="queryTable" totalsRowShown="0">
  <autoFilter ref="A1:G5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45670</v>
      </c>
      <c r="D2" s="60">
        <f>+C2+6</f>
        <v>45676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45677</v>
      </c>
      <c r="D3" s="60">
        <f>+C3+6</f>
        <v>45683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281.47750000000002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3847.7159000000001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0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75</v>
      </c>
      <c r="H9">
        <v>1952.2397000000001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75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50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8763.3700000000008</v>
      </c>
      <c r="O11" t="s">
        <v>36</v>
      </c>
      <c r="P11">
        <v>1</v>
      </c>
      <c r="Q11">
        <v>50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2</v>
      </c>
      <c r="E22">
        <v>614</v>
      </c>
      <c r="G22">
        <v>0</v>
      </c>
      <c r="H22">
        <v>229.38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80" zoomScaleNormal="80" workbookViewId="0">
      <pane ySplit="4" topLeftCell="A5" activePane="bottomLeft" state="frozen"/>
      <selection pane="bottomLeft" activeCell="U32" sqref="U32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16" t="s">
        <v>71</v>
      </c>
      <c r="E2" s="116"/>
      <c r="F2" s="116"/>
      <c r="G2" s="116"/>
      <c r="H2" s="116"/>
      <c r="I2" s="116"/>
      <c r="J2" s="117" t="s">
        <v>72</v>
      </c>
      <c r="K2" s="117"/>
      <c r="L2" s="117"/>
      <c r="M2" s="117"/>
      <c r="N2" s="117"/>
      <c r="O2" s="117"/>
      <c r="P2" s="117"/>
    </row>
    <row r="3" spans="1:21" ht="15.75" x14ac:dyDescent="0.25">
      <c r="A3" s="30"/>
      <c r="B3" s="31"/>
      <c r="C3" s="31"/>
      <c r="D3" s="119" t="s">
        <v>73</v>
      </c>
      <c r="E3" s="119"/>
      <c r="F3" s="119" t="s">
        <v>74</v>
      </c>
      <c r="G3" s="119"/>
      <c r="H3" s="119"/>
      <c r="I3" s="119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18" t="s">
        <v>36</v>
      </c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15723.99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50</v>
      </c>
      <c r="P6" s="41" cm="1">
        <f t="array" ref="P6">SUM(_xlfn._xlws.FILTER(Deduction_and_other_Revenue[Other Deductions],((Deduction_and_other_Revenue[TYPE]=$A$5)*(Deduction_and_other_Revenue[PARTNER]=$A6)),0))</f>
        <v>8763.3700000000008</v>
      </c>
      <c r="Q6" s="44">
        <f>IFERROR(SUM(D6:I6)-SUM(J6:P6),0)</f>
        <v>5682.619999999999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7010.5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229.38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614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6625.88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12483.148099999999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3847.7159000000001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15094.863999999998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1210.29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1952.2397000000001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75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2469.5297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3266.41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281.47750000000002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2929.8874999999998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39694.338099999994</v>
      </c>
      <c r="E14" s="47">
        <f>SUM(E6:E13)</f>
        <v>0</v>
      </c>
      <c r="F14" s="47">
        <f t="shared" ref="F14:Q14" si="1">SUM(F6:F13)</f>
        <v>0</v>
      </c>
      <c r="G14" s="47">
        <f t="shared" si="1"/>
        <v>6310.8131000000003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4314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125</v>
      </c>
      <c r="P14" s="47">
        <f t="shared" si="1"/>
        <v>8763.3700000000008</v>
      </c>
      <c r="Q14" s="47">
        <f t="shared" si="1"/>
        <v>32802.781199999998</v>
      </c>
    </row>
    <row r="17" spans="1:20" ht="15.75" x14ac:dyDescent="0.25">
      <c r="D17" s="48">
        <f>D14</f>
        <v>39694.338099999994</v>
      </c>
      <c r="E17" s="48">
        <f t="shared" ref="E17:S17" si="2">E14</f>
        <v>0</v>
      </c>
      <c r="F17" s="48">
        <f t="shared" si="2"/>
        <v>0</v>
      </c>
      <c r="G17" s="48">
        <f t="shared" si="2"/>
        <v>6310.8131000000003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4314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125</v>
      </c>
      <c r="P17" s="48">
        <f t="shared" si="2"/>
        <v>8763.3700000000008</v>
      </c>
      <c r="Q17" s="48">
        <f t="shared" si="2"/>
        <v>32802.781199999998</v>
      </c>
      <c r="R17" s="48">
        <f t="shared" si="2"/>
        <v>0</v>
      </c>
      <c r="S17" s="48">
        <f t="shared" si="2"/>
        <v>0</v>
      </c>
    </row>
    <row r="19" spans="1:20" ht="15" customHeight="1" x14ac:dyDescent="0.25">
      <c r="C19" s="32" t="s">
        <v>375</v>
      </c>
      <c r="D19" s="32">
        <v>40968.591400000005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4314</v>
      </c>
      <c r="L19" s="32">
        <v>0</v>
      </c>
      <c r="M19" s="32">
        <v>0</v>
      </c>
      <c r="N19" s="32">
        <v>0</v>
      </c>
      <c r="O19" s="32">
        <v>95</v>
      </c>
      <c r="P19" s="32">
        <v>0</v>
      </c>
      <c r="Q19" s="33">
        <v>36559.591400000005</v>
      </c>
    </row>
    <row r="20" spans="1:20" ht="15" customHeight="1" x14ac:dyDescent="0.25">
      <c r="C20" s="32" t="s">
        <v>376</v>
      </c>
      <c r="D20" s="89">
        <f>+D19-D17</f>
        <v>1274.2533000000112</v>
      </c>
      <c r="E20" s="89">
        <f t="shared" ref="E20:Q20" si="3">+E19-E17</f>
        <v>0</v>
      </c>
      <c r="F20" s="89">
        <f t="shared" si="3"/>
        <v>0</v>
      </c>
      <c r="G20" s="89">
        <f t="shared" si="3"/>
        <v>-6310.8131000000003</v>
      </c>
      <c r="H20" s="89">
        <f t="shared" si="3"/>
        <v>0</v>
      </c>
      <c r="I20" s="89">
        <f t="shared" si="3"/>
        <v>0</v>
      </c>
      <c r="J20" s="89">
        <f t="shared" si="3"/>
        <v>0</v>
      </c>
      <c r="K20" s="89">
        <f t="shared" si="3"/>
        <v>0</v>
      </c>
      <c r="L20" s="89">
        <f t="shared" si="3"/>
        <v>0</v>
      </c>
      <c r="M20" s="89">
        <f t="shared" si="3"/>
        <v>0</v>
      </c>
      <c r="N20" s="89">
        <f t="shared" si="3"/>
        <v>0</v>
      </c>
      <c r="O20" s="89">
        <f t="shared" si="3"/>
        <v>-30</v>
      </c>
      <c r="P20" s="89">
        <f t="shared" si="3"/>
        <v>-8763.3700000000008</v>
      </c>
      <c r="Q20" s="89">
        <f t="shared" si="3"/>
        <v>3756.8102000000072</v>
      </c>
    </row>
    <row r="21" spans="1:20" ht="15" customHeight="1" x14ac:dyDescent="0.25">
      <c r="G21" s="89"/>
      <c r="P21" s="89"/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1/13/25,  1/26/25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15723.99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50</v>
      </c>
      <c r="P2" cm="1">
        <f t="array" ref="P2:P6">INDEX(PR!P:P,_xlfn.ANCHORARRAY($C2))</f>
        <v>8763.3700000000008</v>
      </c>
    </row>
    <row r="3" spans="1:18" x14ac:dyDescent="0.25">
      <c r="C3">
        <v>7</v>
      </c>
      <c r="D3" t="str">
        <v>DIV2-IL</v>
      </c>
      <c r="E3" t="str">
        <v>1/13/25,  1/26/25</v>
      </c>
      <c r="F3">
        <v>2302</v>
      </c>
      <c r="H3">
        <v>7010.5</v>
      </c>
      <c r="I3">
        <v>0</v>
      </c>
      <c r="J3">
        <v>229.38</v>
      </c>
      <c r="K3">
        <v>0</v>
      </c>
      <c r="L3">
        <v>0</v>
      </c>
      <c r="M3">
        <v>0</v>
      </c>
      <c r="N3">
        <v>614</v>
      </c>
      <c r="O3">
        <v>0</v>
      </c>
      <c r="P3">
        <v>0</v>
      </c>
    </row>
    <row r="4" spans="1:18" x14ac:dyDescent="0.25">
      <c r="C4">
        <v>8</v>
      </c>
      <c r="D4" t="str">
        <v>DIV2-IL</v>
      </c>
      <c r="E4" t="str">
        <v>1/13/25,  1/26/25</v>
      </c>
      <c r="F4">
        <v>2313</v>
      </c>
      <c r="H4">
        <v>12483.148099999999</v>
      </c>
      <c r="I4">
        <v>0</v>
      </c>
      <c r="J4">
        <v>3847.7159000000001</v>
      </c>
      <c r="K4">
        <v>0</v>
      </c>
      <c r="L4">
        <v>0</v>
      </c>
      <c r="M4">
        <v>0</v>
      </c>
      <c r="N4">
        <v>1236</v>
      </c>
      <c r="O4">
        <v>0</v>
      </c>
      <c r="P4">
        <v>0</v>
      </c>
    </row>
    <row r="5" spans="1:18" x14ac:dyDescent="0.25">
      <c r="C5">
        <v>9</v>
      </c>
      <c r="D5" t="str">
        <v>DIV2-IL</v>
      </c>
      <c r="E5" t="str">
        <v>1/13/25,  1/26/25</v>
      </c>
      <c r="F5">
        <v>2555</v>
      </c>
      <c r="H5">
        <v>1210.29</v>
      </c>
      <c r="I5">
        <v>0</v>
      </c>
      <c r="J5">
        <v>1952.2397000000001</v>
      </c>
      <c r="K5">
        <v>0</v>
      </c>
      <c r="L5">
        <v>0</v>
      </c>
      <c r="M5">
        <v>0</v>
      </c>
      <c r="N5">
        <v>618</v>
      </c>
      <c r="O5">
        <v>75</v>
      </c>
      <c r="P5">
        <v>0</v>
      </c>
    </row>
    <row r="6" spans="1:18" x14ac:dyDescent="0.25">
      <c r="C6">
        <v>10</v>
      </c>
      <c r="D6" t="str">
        <v>DIV2-IL</v>
      </c>
      <c r="E6" t="str">
        <v>1/13/25,  1/26/25</v>
      </c>
      <c r="F6">
        <v>2298</v>
      </c>
      <c r="H6">
        <v>3266.41</v>
      </c>
      <c r="I6">
        <v>0</v>
      </c>
      <c r="J6">
        <v>281.47750000000002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D6" sqref="D6:D7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20" t="s">
        <v>44</v>
      </c>
      <c r="C2" s="120"/>
      <c r="D2" s="120"/>
      <c r="E2" s="120"/>
      <c r="F2" s="120"/>
      <c r="H2" s="28" t="s">
        <v>104</v>
      </c>
      <c r="I2" s="29">
        <f>SUM($V$8,$Y$6)-$AB$7</f>
        <v>2469.5297</v>
      </c>
      <c r="M2" s="8"/>
      <c r="V2" s="8"/>
      <c r="X2" s="95" t="s">
        <v>105</v>
      </c>
      <c r="Y2" s="95"/>
      <c r="AA2" s="130" t="s">
        <v>106</v>
      </c>
      <c r="AB2" s="130"/>
      <c r="AD2" s="130" t="s">
        <v>108</v>
      </c>
      <c r="AE2" s="130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24" t="s">
        <v>111</v>
      </c>
      <c r="K4" s="125"/>
      <c r="L4" s="126"/>
      <c r="M4" s="121" t="s">
        <v>112</v>
      </c>
      <c r="N4" s="122"/>
      <c r="O4" s="122"/>
      <c r="P4" s="123"/>
      <c r="X4" s="14" t="s">
        <v>113</v>
      </c>
      <c r="Y4" s="22">
        <f>SUMIF(Deduction_and_other_Revenue[PARTNER],$B$2,Deduction_and_other_Revenue[Other Income])</f>
        <v>1952.2397000000001</v>
      </c>
      <c r="AA4" s="9" t="s">
        <v>17</v>
      </c>
      <c r="AB4" s="10">
        <f>SUMIF(Deduction_and_other_Revenue[PARTNER],$B$2,Deduction_and_other_Revenue[LIFT LEASE TOTAL])</f>
        <v>618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50</v>
      </c>
      <c r="D6" s="4">
        <v>40.46</v>
      </c>
      <c r="E6" s="4">
        <v>40.46</v>
      </c>
      <c r="F6" s="4">
        <v>0</v>
      </c>
      <c r="G6" s="67">
        <v>0.80920000000000003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0.95327102803738295</v>
      </c>
      <c r="N6" s="87">
        <v>1.9607843137254902E-2</v>
      </c>
      <c r="O6" s="8">
        <v>0</v>
      </c>
      <c r="P6" s="74">
        <v>0</v>
      </c>
      <c r="Q6" s="87">
        <v>0.90336134453781503</v>
      </c>
      <c r="R6" s="8">
        <v>0</v>
      </c>
      <c r="S6" s="8">
        <v>67.069999999999993</v>
      </c>
      <c r="T6" s="8">
        <v>1.5</v>
      </c>
      <c r="U6" s="8">
        <v>839.33</v>
      </c>
      <c r="V6" s="8">
        <v>907.9</v>
      </c>
      <c r="X6" s="51" t="s">
        <v>132</v>
      </c>
      <c r="Y6" s="52">
        <f>SUM(Y3:Y5)</f>
        <v>1952.2397000000001</v>
      </c>
      <c r="AA6" s="11" t="s">
        <v>30</v>
      </c>
      <c r="AB6" s="12">
        <f>SUMIF(Deduction_and_other_Revenue[PARTNER],$B$2,Deduction_and_other_Revenue[Total Violation])</f>
        <v>75</v>
      </c>
      <c r="AD6" s="11" t="s">
        <v>133</v>
      </c>
      <c r="AE6" s="12">
        <f>SUMIF(Deduction_and_other_Revenue[PARTNER],$B$2,Deduction_and_other_Revenue[Violation])</f>
        <v>75</v>
      </c>
      <c r="AF6" s="8"/>
      <c r="AJ6" s="6"/>
    </row>
    <row r="7" spans="2:36" ht="15.75" thickBot="1" x14ac:dyDescent="0.3">
      <c r="B7" s="7" t="str">
        <v>Week2</v>
      </c>
      <c r="C7" s="69">
        <v>50</v>
      </c>
      <c r="D7" s="4">
        <v>12.93</v>
      </c>
      <c r="E7" s="4">
        <v>12.93</v>
      </c>
      <c r="F7" s="4">
        <v>0</v>
      </c>
      <c r="G7" s="67">
        <v>0.2586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0.96875</v>
      </c>
      <c r="N7" s="87">
        <v>3.2258064516128997E-2</v>
      </c>
      <c r="O7" s="8">
        <v>0</v>
      </c>
      <c r="P7" s="74">
        <v>0</v>
      </c>
      <c r="Q7" s="87">
        <v>0.99226604795050299</v>
      </c>
      <c r="R7" s="8">
        <v>0</v>
      </c>
      <c r="S7" s="8">
        <v>36.81</v>
      </c>
      <c r="T7" s="8">
        <v>0</v>
      </c>
      <c r="U7" s="8">
        <v>265.58</v>
      </c>
      <c r="V7" s="8">
        <v>302.39</v>
      </c>
      <c r="W7" s="8"/>
      <c r="X7" s="8"/>
      <c r="Y7" s="15"/>
      <c r="AA7" s="9" t="s">
        <v>106</v>
      </c>
      <c r="AB7" s="10">
        <f>IFERROR(SUM(AB3:AB6),0)</f>
        <v>693</v>
      </c>
      <c r="AD7" s="9" t="s">
        <v>30</v>
      </c>
      <c r="AE7" s="10">
        <f>SUM(AE3:AE6)</f>
        <v>75</v>
      </c>
      <c r="AF7" s="8"/>
      <c r="AJ7" s="6"/>
    </row>
    <row r="8" spans="2:36" x14ac:dyDescent="0.25">
      <c r="B8" s="25" t="s">
        <v>134</v>
      </c>
      <c r="C8" s="76">
        <f>SUM(C6:C7)</f>
        <v>100</v>
      </c>
      <c r="D8" s="26">
        <f t="shared" ref="D8:F8" si="0">SUM(D6:D7)</f>
        <v>53.39</v>
      </c>
      <c r="E8" s="26">
        <f t="shared" si="0"/>
        <v>53.39</v>
      </c>
      <c r="F8" s="26">
        <f t="shared" si="0"/>
        <v>0</v>
      </c>
      <c r="G8" s="76"/>
      <c r="H8" s="86">
        <f>SUM(H6:H7)</f>
        <v>0</v>
      </c>
      <c r="I8" s="27">
        <f>SUM(I6:I7)</f>
        <v>0</v>
      </c>
      <c r="J8" s="27">
        <f t="shared" ref="J8:O8" si="1">SUM(J6:J7)</f>
        <v>0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0</v>
      </c>
      <c r="P8" s="27">
        <f>SUM(P6:P7)</f>
        <v>0</v>
      </c>
      <c r="Q8" s="88"/>
      <c r="R8" s="27">
        <f>SUM(R6:R7)</f>
        <v>0</v>
      </c>
      <c r="S8" s="27">
        <f>SUM(S6:S7)</f>
        <v>103.88</v>
      </c>
      <c r="T8" s="27">
        <f>SUM(T6:T7)</f>
        <v>1.5</v>
      </c>
      <c r="U8" s="27">
        <f>SUM(U6:U7)</f>
        <v>1104.9100000000001</v>
      </c>
      <c r="V8" s="27">
        <f>SUM(V6:V7)</f>
        <v>1210.29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27" t="s">
        <v>135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9"/>
      <c r="N10" s="6"/>
      <c r="O10" s="6"/>
      <c r="P10" s="6"/>
      <c r="Q10" s="6"/>
      <c r="R10" s="6"/>
      <c r="S10" s="6"/>
      <c r="T10" s="6"/>
      <c r="U10" s="6"/>
      <c r="X10" s="131" t="s">
        <v>136</v>
      </c>
      <c r="Y10" s="132"/>
      <c r="Z10" s="132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13">_xlfn._xlws.FILTER(VDPMVReport[[Week]:[Tolls]],VDPMVReport[PARTNER NAME]=$B$2,"No Data for the Selected Partner")</f>
        <v>45670</v>
      </c>
      <c r="C12" s="6" t="str">
        <v>David</v>
      </c>
      <c r="D12" s="6" t="str">
        <v>Rodgers</v>
      </c>
      <c r="E12" s="6">
        <v>84</v>
      </c>
      <c r="F12" s="66">
        <v>0.95327102803738317</v>
      </c>
      <c r="G12" s="67">
        <v>1.9607843137254902E-2</v>
      </c>
      <c r="H12" s="5">
        <v>40.79</v>
      </c>
      <c r="I12" s="5">
        <v>0.33</v>
      </c>
      <c r="J12" s="4">
        <v>40.46</v>
      </c>
      <c r="K12" s="4">
        <v>839.33</v>
      </c>
      <c r="L12" s="3">
        <v>67.069999999999993</v>
      </c>
      <c r="M12" s="3">
        <v>1.5</v>
      </c>
      <c r="X12" s="8" cm="1">
        <f t="array" ref="X12:Z12">_xlfn._xlws.FILTER(Deduction_and_other_Revenue[[ Lift Lease Rate]:[LIFT LEASE TOTAL]],Deduction_and_other_Revenue[PARTNER]=$B$2,"No Data for the Selected Partner")</f>
        <v>309</v>
      </c>
      <c r="Y12" s="3">
        <v>2</v>
      </c>
      <c r="Z12" s="8">
        <v>618</v>
      </c>
      <c r="AA12" s="6"/>
      <c r="AB12" s="6"/>
      <c r="AE12" s="6"/>
      <c r="AJ12" s="6"/>
    </row>
    <row r="13" spans="2:36" x14ac:dyDescent="0.25">
      <c r="B13" s="7">
        <v>45677</v>
      </c>
      <c r="C13" s="6" t="str">
        <v>David</v>
      </c>
      <c r="D13" s="6" t="str">
        <v>Rodgers</v>
      </c>
      <c r="E13" s="6">
        <v>30</v>
      </c>
      <c r="F13" s="66">
        <v>0.96875</v>
      </c>
      <c r="G13" s="67">
        <v>3.2258064516129031E-2</v>
      </c>
      <c r="H13" s="5">
        <v>12.93</v>
      </c>
      <c r="I13" s="5">
        <v>0</v>
      </c>
      <c r="J13" s="4">
        <v>12.93</v>
      </c>
      <c r="K13" s="4">
        <v>265.58</v>
      </c>
      <c r="L13" s="3">
        <v>36.81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45670</v>
      </c>
      <c r="B2" t="s">
        <v>362</v>
      </c>
      <c r="C2" t="s">
        <v>363</v>
      </c>
      <c r="D2">
        <v>13</v>
      </c>
      <c r="E2">
        <v>0.875</v>
      </c>
      <c r="F2">
        <v>0</v>
      </c>
      <c r="G2">
        <v>25.76</v>
      </c>
      <c r="H2">
        <v>0.04</v>
      </c>
      <c r="I2">
        <v>25.720000000000002</v>
      </c>
      <c r="J2">
        <v>187.77999999999901</v>
      </c>
      <c r="K2">
        <v>3</v>
      </c>
      <c r="L2">
        <v>0</v>
      </c>
      <c r="M2" t="s">
        <v>364</v>
      </c>
      <c r="N2">
        <v>2</v>
      </c>
      <c r="O2">
        <v>11</v>
      </c>
      <c r="P2">
        <v>25.37</v>
      </c>
      <c r="Q2">
        <v>0</v>
      </c>
      <c r="R2">
        <v>0.35</v>
      </c>
      <c r="S2">
        <v>14.55</v>
      </c>
      <c r="T2">
        <v>14.54</v>
      </c>
      <c r="U2">
        <v>0.5</v>
      </c>
      <c r="V2">
        <v>14</v>
      </c>
      <c r="W2">
        <v>2</v>
      </c>
      <c r="X2">
        <v>0</v>
      </c>
      <c r="Y2">
        <v>0</v>
      </c>
      <c r="Z2">
        <v>0</v>
      </c>
      <c r="AA2">
        <v>25.720000000000002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45670</v>
      </c>
      <c r="B3" t="s">
        <v>329</v>
      </c>
      <c r="C3" t="s">
        <v>330</v>
      </c>
      <c r="D3">
        <v>39</v>
      </c>
      <c r="E3">
        <v>1</v>
      </c>
      <c r="F3">
        <v>2.3255813953488372E-2</v>
      </c>
      <c r="G3">
        <v>37.409999999999997</v>
      </c>
      <c r="H3">
        <v>0.1</v>
      </c>
      <c r="I3">
        <v>37.309999999999995</v>
      </c>
      <c r="J3">
        <v>377.87</v>
      </c>
      <c r="K3">
        <v>5</v>
      </c>
      <c r="L3">
        <v>0</v>
      </c>
      <c r="M3" t="s">
        <v>331</v>
      </c>
      <c r="N3">
        <v>5</v>
      </c>
      <c r="O3">
        <v>34</v>
      </c>
      <c r="P3">
        <v>18.43</v>
      </c>
      <c r="Q3">
        <v>0</v>
      </c>
      <c r="R3">
        <v>18.88</v>
      </c>
      <c r="S3">
        <v>11.29</v>
      </c>
      <c r="T3">
        <v>10.33</v>
      </c>
      <c r="U3">
        <v>1.04</v>
      </c>
      <c r="V3">
        <v>43</v>
      </c>
      <c r="W3">
        <v>0</v>
      </c>
      <c r="X3">
        <v>1</v>
      </c>
      <c r="Y3">
        <v>37.309999999999995</v>
      </c>
      <c r="Z3">
        <v>0</v>
      </c>
      <c r="AA3">
        <v>0</v>
      </c>
      <c r="AB3" t="s">
        <v>12</v>
      </c>
      <c r="AC3">
        <v>70</v>
      </c>
      <c r="AD3">
        <v>20</v>
      </c>
      <c r="AE3">
        <v>0.1</v>
      </c>
      <c r="AF3">
        <v>0.05</v>
      </c>
      <c r="AH3">
        <v>37.309999999999995</v>
      </c>
      <c r="AI3" t="s">
        <v>239</v>
      </c>
      <c r="AJ3" t="s">
        <v>48</v>
      </c>
      <c r="AK3">
        <v>0.7</v>
      </c>
    </row>
    <row r="4" spans="1:37" hidden="1" x14ac:dyDescent="0.25">
      <c r="A4" s="2">
        <v>45677</v>
      </c>
      <c r="B4" t="s">
        <v>329</v>
      </c>
      <c r="C4" t="s">
        <v>330</v>
      </c>
      <c r="D4">
        <v>57</v>
      </c>
      <c r="E4">
        <v>1</v>
      </c>
      <c r="F4">
        <v>0</v>
      </c>
      <c r="G4">
        <v>36.22</v>
      </c>
      <c r="H4">
        <v>0</v>
      </c>
      <c r="I4">
        <v>36.22</v>
      </c>
      <c r="J4">
        <v>478.28</v>
      </c>
      <c r="K4">
        <v>10.94</v>
      </c>
      <c r="L4">
        <v>0</v>
      </c>
      <c r="M4" t="s">
        <v>331</v>
      </c>
      <c r="N4">
        <v>7</v>
      </c>
      <c r="O4">
        <v>50</v>
      </c>
      <c r="P4">
        <v>22.56</v>
      </c>
      <c r="Q4">
        <v>0</v>
      </c>
      <c r="R4">
        <v>13.66</v>
      </c>
      <c r="S4">
        <v>11.01</v>
      </c>
      <c r="T4">
        <v>6.09</v>
      </c>
      <c r="U4">
        <v>1.57</v>
      </c>
      <c r="V4">
        <v>72</v>
      </c>
      <c r="W4">
        <v>0</v>
      </c>
      <c r="X4">
        <v>0</v>
      </c>
      <c r="Y4">
        <v>36.22</v>
      </c>
      <c r="Z4">
        <v>0</v>
      </c>
      <c r="AA4">
        <v>0</v>
      </c>
      <c r="AB4" t="s">
        <v>13</v>
      </c>
      <c r="AC4">
        <v>70</v>
      </c>
      <c r="AD4">
        <v>20</v>
      </c>
      <c r="AE4">
        <v>0.1</v>
      </c>
      <c r="AF4">
        <v>0.05</v>
      </c>
      <c r="AH4">
        <v>36.22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45670</v>
      </c>
      <c r="B5" t="s">
        <v>318</v>
      </c>
      <c r="C5" t="s">
        <v>319</v>
      </c>
      <c r="D5">
        <v>46</v>
      </c>
      <c r="E5">
        <v>1</v>
      </c>
      <c r="F5">
        <v>1.9230769230769232E-2</v>
      </c>
      <c r="G5">
        <v>32.020000000000003</v>
      </c>
      <c r="H5">
        <v>0</v>
      </c>
      <c r="I5">
        <v>32.020000000000003</v>
      </c>
      <c r="J5">
        <v>633.74</v>
      </c>
      <c r="K5">
        <v>35.380000000000003</v>
      </c>
      <c r="L5">
        <v>0.75</v>
      </c>
      <c r="M5" t="s">
        <v>352</v>
      </c>
      <c r="N5">
        <v>13</v>
      </c>
      <c r="O5">
        <v>33</v>
      </c>
      <c r="P5">
        <v>29.19</v>
      </c>
      <c r="Q5">
        <v>0</v>
      </c>
      <c r="R5">
        <v>2.83</v>
      </c>
      <c r="S5">
        <v>25.52</v>
      </c>
      <c r="T5">
        <v>23.13</v>
      </c>
      <c r="U5">
        <v>1.44</v>
      </c>
      <c r="V5">
        <v>52</v>
      </c>
      <c r="W5">
        <v>0</v>
      </c>
      <c r="X5">
        <v>1</v>
      </c>
      <c r="Y5">
        <v>32.020000000000003</v>
      </c>
      <c r="Z5">
        <v>0</v>
      </c>
      <c r="AA5">
        <v>0</v>
      </c>
      <c r="AB5" t="s">
        <v>12</v>
      </c>
      <c r="AC5">
        <v>70</v>
      </c>
      <c r="AD5">
        <v>20</v>
      </c>
      <c r="AE5">
        <v>0.1</v>
      </c>
      <c r="AF5">
        <v>0.05</v>
      </c>
      <c r="AH5">
        <v>32.020000000000003</v>
      </c>
      <c r="AI5" t="s">
        <v>168</v>
      </c>
      <c r="AJ5" t="s">
        <v>37</v>
      </c>
      <c r="AK5">
        <v>0.7</v>
      </c>
    </row>
    <row r="6" spans="1:37" hidden="1" x14ac:dyDescent="0.25">
      <c r="A6" s="2">
        <v>45677</v>
      </c>
      <c r="B6" t="s">
        <v>318</v>
      </c>
      <c r="C6" t="s">
        <v>319</v>
      </c>
      <c r="D6">
        <v>70</v>
      </c>
      <c r="E6">
        <v>1</v>
      </c>
      <c r="F6">
        <v>1.3698630136986301E-2</v>
      </c>
      <c r="G6">
        <v>32.11</v>
      </c>
      <c r="H6">
        <v>0</v>
      </c>
      <c r="I6">
        <v>32.11</v>
      </c>
      <c r="J6">
        <v>708.12</v>
      </c>
      <c r="K6">
        <v>28</v>
      </c>
      <c r="L6">
        <v>0</v>
      </c>
      <c r="M6" t="s">
        <v>352</v>
      </c>
      <c r="N6">
        <v>5</v>
      </c>
      <c r="O6">
        <v>65</v>
      </c>
      <c r="P6">
        <v>29.14</v>
      </c>
      <c r="Q6">
        <v>0</v>
      </c>
      <c r="R6">
        <v>2.97</v>
      </c>
      <c r="S6">
        <v>17.100000000000001</v>
      </c>
      <c r="T6">
        <v>15.33</v>
      </c>
      <c r="U6">
        <v>2.1800000000000002</v>
      </c>
      <c r="V6">
        <v>73</v>
      </c>
      <c r="W6">
        <v>0</v>
      </c>
      <c r="X6">
        <v>1</v>
      </c>
      <c r="Y6">
        <v>32.11</v>
      </c>
      <c r="Z6">
        <v>0</v>
      </c>
      <c r="AA6">
        <v>0</v>
      </c>
      <c r="AB6" t="s">
        <v>13</v>
      </c>
      <c r="AC6">
        <v>70</v>
      </c>
      <c r="AD6">
        <v>20</v>
      </c>
      <c r="AE6">
        <v>0.1</v>
      </c>
      <c r="AF6">
        <v>0.05</v>
      </c>
      <c r="AH6">
        <v>32.11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45670</v>
      </c>
      <c r="B7" t="s">
        <v>366</v>
      </c>
      <c r="C7" t="s">
        <v>367</v>
      </c>
      <c r="D7">
        <v>32</v>
      </c>
      <c r="E7">
        <v>0.97619047619047616</v>
      </c>
      <c r="F7">
        <v>7.3170731707317069E-2</v>
      </c>
      <c r="G7">
        <v>27.57</v>
      </c>
      <c r="H7">
        <v>0</v>
      </c>
      <c r="I7">
        <v>27.57</v>
      </c>
      <c r="J7">
        <v>455.68999999999897</v>
      </c>
      <c r="K7">
        <v>35.61</v>
      </c>
      <c r="L7">
        <v>2.15</v>
      </c>
      <c r="M7" t="s">
        <v>368</v>
      </c>
      <c r="N7">
        <v>11</v>
      </c>
      <c r="O7">
        <v>21</v>
      </c>
      <c r="P7">
        <v>21.31</v>
      </c>
      <c r="Q7">
        <v>1</v>
      </c>
      <c r="R7">
        <v>6.26</v>
      </c>
      <c r="S7">
        <v>26.57</v>
      </c>
      <c r="T7">
        <v>20.96</v>
      </c>
      <c r="U7">
        <v>1.1599999999999999</v>
      </c>
      <c r="V7">
        <v>41</v>
      </c>
      <c r="W7">
        <v>0</v>
      </c>
      <c r="X7">
        <v>3</v>
      </c>
      <c r="Y7">
        <v>0</v>
      </c>
      <c r="Z7">
        <v>0</v>
      </c>
      <c r="AA7">
        <v>27.57</v>
      </c>
      <c r="AB7" t="s">
        <v>12</v>
      </c>
      <c r="AC7">
        <v>70</v>
      </c>
      <c r="AD7">
        <v>20</v>
      </c>
      <c r="AE7">
        <v>0.1</v>
      </c>
      <c r="AF7">
        <v>0.05</v>
      </c>
      <c r="AH7">
        <v>0</v>
      </c>
      <c r="AI7" t="s">
        <v>323</v>
      </c>
      <c r="AJ7" t="s">
        <v>65</v>
      </c>
      <c r="AK7">
        <v>0.7</v>
      </c>
    </row>
    <row r="8" spans="1:37" hidden="1" x14ac:dyDescent="0.25">
      <c r="A8" s="2">
        <v>45677</v>
      </c>
      <c r="B8" t="s">
        <v>366</v>
      </c>
      <c r="C8" t="s">
        <v>367</v>
      </c>
      <c r="D8">
        <v>42</v>
      </c>
      <c r="E8">
        <v>1</v>
      </c>
      <c r="F8">
        <v>0</v>
      </c>
      <c r="G8">
        <v>34.99</v>
      </c>
      <c r="H8">
        <v>0.11</v>
      </c>
      <c r="I8">
        <v>34.880000000000003</v>
      </c>
      <c r="J8">
        <v>518.23</v>
      </c>
      <c r="K8">
        <v>33.49</v>
      </c>
      <c r="L8">
        <v>0</v>
      </c>
      <c r="M8" t="s">
        <v>368</v>
      </c>
      <c r="N8">
        <v>15</v>
      </c>
      <c r="O8">
        <v>27</v>
      </c>
      <c r="P8">
        <v>25.32</v>
      </c>
      <c r="Q8">
        <v>0</v>
      </c>
      <c r="R8">
        <v>9.56</v>
      </c>
      <c r="S8">
        <v>27.43</v>
      </c>
      <c r="T8">
        <v>19.760000000000002</v>
      </c>
      <c r="U8">
        <v>1.2</v>
      </c>
      <c r="V8">
        <v>47</v>
      </c>
      <c r="W8">
        <v>0</v>
      </c>
      <c r="X8">
        <v>0</v>
      </c>
      <c r="Y8">
        <v>34.880000000000003</v>
      </c>
      <c r="Z8">
        <v>0</v>
      </c>
      <c r="AA8">
        <v>0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34.880000000000003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45670</v>
      </c>
      <c r="B9" t="s">
        <v>309</v>
      </c>
      <c r="C9" t="s">
        <v>310</v>
      </c>
      <c r="D9">
        <v>39</v>
      </c>
      <c r="E9">
        <v>0.97826086956521741</v>
      </c>
      <c r="F9">
        <v>4.4444444444444446E-2</v>
      </c>
      <c r="G9">
        <v>25.12</v>
      </c>
      <c r="H9">
        <v>0.01</v>
      </c>
      <c r="I9">
        <v>25.11</v>
      </c>
      <c r="J9">
        <v>461.599999999999</v>
      </c>
      <c r="K9">
        <v>0</v>
      </c>
      <c r="L9">
        <v>0</v>
      </c>
      <c r="M9" t="s">
        <v>333</v>
      </c>
      <c r="N9">
        <v>7</v>
      </c>
      <c r="O9">
        <v>32</v>
      </c>
      <c r="P9">
        <v>23.59</v>
      </c>
      <c r="Q9">
        <v>1</v>
      </c>
      <c r="R9">
        <v>1.51</v>
      </c>
      <c r="S9">
        <v>15.71</v>
      </c>
      <c r="T9">
        <v>15</v>
      </c>
      <c r="U9">
        <v>1.55</v>
      </c>
      <c r="V9">
        <v>45</v>
      </c>
      <c r="W9">
        <v>0</v>
      </c>
      <c r="X9">
        <v>2</v>
      </c>
      <c r="Y9">
        <v>0</v>
      </c>
      <c r="Z9">
        <v>0</v>
      </c>
      <c r="AA9">
        <v>25.11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45677</v>
      </c>
      <c r="B10" t="s">
        <v>309</v>
      </c>
      <c r="C10" t="s">
        <v>310</v>
      </c>
      <c r="D10">
        <v>44</v>
      </c>
      <c r="E10">
        <v>1</v>
      </c>
      <c r="F10">
        <v>0.02</v>
      </c>
      <c r="G10">
        <v>23.73</v>
      </c>
      <c r="H10">
        <v>0.06</v>
      </c>
      <c r="I10">
        <v>23.67</v>
      </c>
      <c r="J10">
        <v>465.909999999999</v>
      </c>
      <c r="K10">
        <v>22.25</v>
      </c>
      <c r="L10">
        <v>0</v>
      </c>
      <c r="M10" t="s">
        <v>333</v>
      </c>
      <c r="N10">
        <v>8</v>
      </c>
      <c r="O10">
        <v>36</v>
      </c>
      <c r="P10">
        <v>21.86</v>
      </c>
      <c r="Q10">
        <v>0</v>
      </c>
      <c r="R10">
        <v>1.81</v>
      </c>
      <c r="S10">
        <v>13.95</v>
      </c>
      <c r="T10">
        <v>12.54</v>
      </c>
      <c r="U10">
        <v>1.85</v>
      </c>
      <c r="V10">
        <v>50</v>
      </c>
      <c r="W10">
        <v>0</v>
      </c>
      <c r="X10">
        <v>1</v>
      </c>
      <c r="Y10">
        <v>23.67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23.67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45670</v>
      </c>
      <c r="B11" t="s">
        <v>326</v>
      </c>
      <c r="C11" t="s">
        <v>327</v>
      </c>
      <c r="D11">
        <v>111</v>
      </c>
      <c r="E11">
        <v>1</v>
      </c>
      <c r="F11">
        <v>2.3076923076923078E-2</v>
      </c>
      <c r="G11">
        <v>50.15</v>
      </c>
      <c r="H11">
        <v>0</v>
      </c>
      <c r="I11">
        <v>50.15</v>
      </c>
      <c r="J11">
        <v>1019.9</v>
      </c>
      <c r="K11">
        <v>53.35</v>
      </c>
      <c r="L11">
        <v>0</v>
      </c>
      <c r="M11" t="s">
        <v>328</v>
      </c>
      <c r="N11">
        <v>11</v>
      </c>
      <c r="O11">
        <v>100</v>
      </c>
      <c r="P11">
        <v>48.43</v>
      </c>
      <c r="Q11">
        <v>0</v>
      </c>
      <c r="R11">
        <v>1.72</v>
      </c>
      <c r="S11">
        <v>10.34</v>
      </c>
      <c r="T11">
        <v>10.08</v>
      </c>
      <c r="U11">
        <v>2.21</v>
      </c>
      <c r="V11">
        <v>130</v>
      </c>
      <c r="W11">
        <v>0</v>
      </c>
      <c r="X11">
        <v>3</v>
      </c>
      <c r="Y11">
        <v>50.15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50.15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45677</v>
      </c>
      <c r="B12" t="s">
        <v>326</v>
      </c>
      <c r="C12" t="s">
        <v>327</v>
      </c>
      <c r="D12">
        <v>107</v>
      </c>
      <c r="E12">
        <v>0.99224806201550386</v>
      </c>
      <c r="F12">
        <v>3.90625E-2</v>
      </c>
      <c r="G12">
        <v>50.01</v>
      </c>
      <c r="H12">
        <v>0</v>
      </c>
      <c r="I12">
        <v>50.01</v>
      </c>
      <c r="J12">
        <v>1030.8699999999999</v>
      </c>
      <c r="K12">
        <v>68.06</v>
      </c>
      <c r="L12">
        <v>0</v>
      </c>
      <c r="M12" t="s">
        <v>328</v>
      </c>
      <c r="N12">
        <v>8</v>
      </c>
      <c r="O12">
        <v>99</v>
      </c>
      <c r="P12">
        <v>48.31</v>
      </c>
      <c r="Q12">
        <v>0</v>
      </c>
      <c r="R12">
        <v>1.69</v>
      </c>
      <c r="S12">
        <v>10.45</v>
      </c>
      <c r="T12">
        <v>10.210000000000001</v>
      </c>
      <c r="U12">
        <v>2.14</v>
      </c>
      <c r="V12">
        <v>128</v>
      </c>
      <c r="W12">
        <v>1</v>
      </c>
      <c r="X12">
        <v>5</v>
      </c>
      <c r="Y12">
        <v>50.01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50.01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45670</v>
      </c>
      <c r="B13" t="s">
        <v>335</v>
      </c>
      <c r="C13" t="s">
        <v>336</v>
      </c>
      <c r="D13">
        <v>45</v>
      </c>
      <c r="E13">
        <v>0.98181818181818181</v>
      </c>
      <c r="F13">
        <v>0</v>
      </c>
      <c r="G13">
        <v>23.95</v>
      </c>
      <c r="H13">
        <v>0</v>
      </c>
      <c r="I13">
        <v>23.95</v>
      </c>
      <c r="J13">
        <v>494.34</v>
      </c>
      <c r="K13">
        <v>10</v>
      </c>
      <c r="L13">
        <v>0</v>
      </c>
      <c r="M13" t="s">
        <v>337</v>
      </c>
      <c r="N13">
        <v>9</v>
      </c>
      <c r="O13">
        <v>36</v>
      </c>
      <c r="P13">
        <v>20.079999999999998</v>
      </c>
      <c r="Q13">
        <v>1</v>
      </c>
      <c r="R13">
        <v>3.87</v>
      </c>
      <c r="S13">
        <v>10.07</v>
      </c>
      <c r="T13">
        <v>9.33</v>
      </c>
      <c r="U13">
        <v>1.88</v>
      </c>
      <c r="V13">
        <v>54</v>
      </c>
      <c r="W13">
        <v>0</v>
      </c>
      <c r="X13">
        <v>0</v>
      </c>
      <c r="Y13">
        <v>23.95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23.95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45677</v>
      </c>
      <c r="B14" t="s">
        <v>335</v>
      </c>
      <c r="C14" t="s">
        <v>336</v>
      </c>
      <c r="D14">
        <v>107</v>
      </c>
      <c r="E14">
        <v>1</v>
      </c>
      <c r="F14">
        <v>1.5384615384615385E-2</v>
      </c>
      <c r="G14">
        <v>47.05</v>
      </c>
      <c r="H14">
        <v>0.02</v>
      </c>
      <c r="I14">
        <v>47.029999999999994</v>
      </c>
      <c r="J14">
        <v>927.68999999999903</v>
      </c>
      <c r="K14">
        <v>73</v>
      </c>
      <c r="L14">
        <v>0</v>
      </c>
      <c r="M14" t="s">
        <v>337</v>
      </c>
      <c r="N14">
        <v>21</v>
      </c>
      <c r="O14">
        <v>86</v>
      </c>
      <c r="P14">
        <v>42.88</v>
      </c>
      <c r="Q14">
        <v>0</v>
      </c>
      <c r="R14">
        <v>4.16</v>
      </c>
      <c r="S14">
        <v>20.29</v>
      </c>
      <c r="T14">
        <v>18.399999999999999</v>
      </c>
      <c r="U14">
        <v>2.27</v>
      </c>
      <c r="V14">
        <v>130</v>
      </c>
      <c r="W14">
        <v>0</v>
      </c>
      <c r="X14">
        <v>2</v>
      </c>
      <c r="Y14">
        <v>47.029999999999994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47.029999999999994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45670</v>
      </c>
      <c r="B15" t="s">
        <v>311</v>
      </c>
      <c r="C15" t="s">
        <v>312</v>
      </c>
      <c r="D15">
        <v>79</v>
      </c>
      <c r="E15">
        <v>0.94623655913978499</v>
      </c>
      <c r="F15">
        <v>3.4090909090909088E-2</v>
      </c>
      <c r="G15">
        <v>50.32</v>
      </c>
      <c r="H15">
        <v>5.59</v>
      </c>
      <c r="I15">
        <v>44.730000000000004</v>
      </c>
      <c r="J15">
        <v>775.74</v>
      </c>
      <c r="K15">
        <v>24</v>
      </c>
      <c r="L15">
        <v>0</v>
      </c>
      <c r="M15" t="s">
        <v>332</v>
      </c>
      <c r="N15">
        <v>7</v>
      </c>
      <c r="O15">
        <v>72</v>
      </c>
      <c r="P15">
        <v>34.700000000000003</v>
      </c>
      <c r="Q15">
        <v>5</v>
      </c>
      <c r="R15">
        <v>10.029999999999999</v>
      </c>
      <c r="S15">
        <v>16.559999999999999</v>
      </c>
      <c r="T15">
        <v>15.96</v>
      </c>
      <c r="U15">
        <v>1.57</v>
      </c>
      <c r="V15">
        <v>88</v>
      </c>
      <c r="W15">
        <v>0</v>
      </c>
      <c r="X15">
        <v>3</v>
      </c>
      <c r="Y15">
        <v>0</v>
      </c>
      <c r="Z15">
        <v>0</v>
      </c>
      <c r="AA15">
        <v>44.730000000000004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45677</v>
      </c>
      <c r="B16" t="s">
        <v>311</v>
      </c>
      <c r="C16" t="s">
        <v>312</v>
      </c>
      <c r="D16">
        <v>49</v>
      </c>
      <c r="E16">
        <v>1</v>
      </c>
      <c r="F16">
        <v>2.1739130434782608E-2</v>
      </c>
      <c r="G16">
        <v>29.4</v>
      </c>
      <c r="H16">
        <v>4.59</v>
      </c>
      <c r="I16">
        <v>24.81</v>
      </c>
      <c r="J16">
        <v>480.95</v>
      </c>
      <c r="K16">
        <v>15</v>
      </c>
      <c r="L16">
        <v>0</v>
      </c>
      <c r="M16" t="s">
        <v>332</v>
      </c>
      <c r="N16">
        <v>10</v>
      </c>
      <c r="O16">
        <v>39</v>
      </c>
      <c r="P16">
        <v>22.75</v>
      </c>
      <c r="Q16">
        <v>0</v>
      </c>
      <c r="R16">
        <v>2.06</v>
      </c>
      <c r="S16">
        <v>17.09</v>
      </c>
      <c r="T16">
        <v>16.38</v>
      </c>
      <c r="U16">
        <v>1.67</v>
      </c>
      <c r="V16">
        <v>46</v>
      </c>
      <c r="W16">
        <v>0</v>
      </c>
      <c r="X16">
        <v>1</v>
      </c>
      <c r="Y16">
        <v>24.81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24.81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45670</v>
      </c>
      <c r="B17" t="s">
        <v>339</v>
      </c>
      <c r="C17" t="s">
        <v>340</v>
      </c>
      <c r="D17">
        <v>92</v>
      </c>
      <c r="E17">
        <v>1</v>
      </c>
      <c r="F17">
        <v>0</v>
      </c>
      <c r="G17">
        <v>37.799999999999997</v>
      </c>
      <c r="H17">
        <v>0.01</v>
      </c>
      <c r="I17">
        <v>37.79</v>
      </c>
      <c r="J17">
        <v>725.14</v>
      </c>
      <c r="K17">
        <v>13</v>
      </c>
      <c r="L17">
        <v>0</v>
      </c>
      <c r="M17" t="s">
        <v>341</v>
      </c>
      <c r="N17">
        <v>5</v>
      </c>
      <c r="O17">
        <v>87</v>
      </c>
      <c r="P17">
        <v>32.07</v>
      </c>
      <c r="Q17">
        <v>0</v>
      </c>
      <c r="R17">
        <v>5.72</v>
      </c>
      <c r="S17">
        <v>0</v>
      </c>
      <c r="T17">
        <v>0</v>
      </c>
      <c r="U17">
        <v>2.4300000000000002</v>
      </c>
      <c r="V17">
        <v>96</v>
      </c>
      <c r="W17">
        <v>0</v>
      </c>
      <c r="X17">
        <v>0</v>
      </c>
      <c r="Y17">
        <v>37.79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37.79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45677</v>
      </c>
      <c r="B18" t="s">
        <v>339</v>
      </c>
      <c r="C18" t="s">
        <v>340</v>
      </c>
      <c r="D18">
        <v>85</v>
      </c>
      <c r="E18">
        <v>1</v>
      </c>
      <c r="F18">
        <v>0</v>
      </c>
      <c r="G18">
        <v>39.72</v>
      </c>
      <c r="H18">
        <v>0</v>
      </c>
      <c r="I18">
        <v>39.72</v>
      </c>
      <c r="J18">
        <v>776.17999999999904</v>
      </c>
      <c r="K18">
        <v>29</v>
      </c>
      <c r="L18">
        <v>0</v>
      </c>
      <c r="M18" t="s">
        <v>341</v>
      </c>
      <c r="N18">
        <v>6</v>
      </c>
      <c r="O18">
        <v>79</v>
      </c>
      <c r="P18">
        <v>32.799999999999997</v>
      </c>
      <c r="Q18">
        <v>0</v>
      </c>
      <c r="R18">
        <v>6.91</v>
      </c>
      <c r="S18">
        <v>0</v>
      </c>
      <c r="T18">
        <v>0</v>
      </c>
      <c r="U18">
        <v>2.14</v>
      </c>
      <c r="V18">
        <v>95</v>
      </c>
      <c r="W18">
        <v>0</v>
      </c>
      <c r="X18">
        <v>0</v>
      </c>
      <c r="Y18">
        <v>39.72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39.72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45670</v>
      </c>
      <c r="B19" t="s">
        <v>353</v>
      </c>
      <c r="C19" t="s">
        <v>354</v>
      </c>
      <c r="D19">
        <v>62</v>
      </c>
      <c r="E19">
        <v>0.98484848484848486</v>
      </c>
      <c r="F19">
        <v>0</v>
      </c>
      <c r="G19">
        <v>38.96</v>
      </c>
      <c r="H19">
        <v>0.3</v>
      </c>
      <c r="I19">
        <v>38.660000000000004</v>
      </c>
      <c r="J19">
        <v>607.349999999999</v>
      </c>
      <c r="K19">
        <v>8</v>
      </c>
      <c r="L19">
        <v>0</v>
      </c>
      <c r="M19" t="s">
        <v>355</v>
      </c>
      <c r="N19">
        <v>3</v>
      </c>
      <c r="O19">
        <v>59</v>
      </c>
      <c r="P19">
        <v>26.11</v>
      </c>
      <c r="Q19">
        <v>1</v>
      </c>
      <c r="R19">
        <v>12.54</v>
      </c>
      <c r="S19">
        <v>0.19</v>
      </c>
      <c r="T19">
        <v>0.06</v>
      </c>
      <c r="U19">
        <v>1.59</v>
      </c>
      <c r="V19">
        <v>65</v>
      </c>
      <c r="W19">
        <v>0</v>
      </c>
      <c r="X19">
        <v>0</v>
      </c>
      <c r="Y19">
        <v>38.660000000000004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38.660000000000004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45677</v>
      </c>
      <c r="B20" t="s">
        <v>353</v>
      </c>
      <c r="C20" t="s">
        <v>354</v>
      </c>
      <c r="D20">
        <v>85</v>
      </c>
      <c r="E20">
        <v>0.96875</v>
      </c>
      <c r="F20">
        <v>1.0752688172043012E-2</v>
      </c>
      <c r="G20">
        <v>47.58</v>
      </c>
      <c r="H20">
        <v>0.57999999999999996</v>
      </c>
      <c r="I20">
        <v>47</v>
      </c>
      <c r="J20">
        <v>821.62999999999909</v>
      </c>
      <c r="K20">
        <v>40.81</v>
      </c>
      <c r="L20">
        <v>0</v>
      </c>
      <c r="M20" t="s">
        <v>355</v>
      </c>
      <c r="N20">
        <v>3</v>
      </c>
      <c r="O20">
        <v>82</v>
      </c>
      <c r="P20">
        <v>35.450000000000003</v>
      </c>
      <c r="Q20">
        <v>3</v>
      </c>
      <c r="R20">
        <v>11.54</v>
      </c>
      <c r="S20">
        <v>0</v>
      </c>
      <c r="T20">
        <v>0</v>
      </c>
      <c r="U20">
        <v>1.79</v>
      </c>
      <c r="V20">
        <v>93</v>
      </c>
      <c r="W20">
        <v>0</v>
      </c>
      <c r="X20">
        <v>1</v>
      </c>
      <c r="Y20">
        <v>47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47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45670</v>
      </c>
      <c r="B21" t="s">
        <v>313</v>
      </c>
      <c r="C21" t="s">
        <v>314</v>
      </c>
      <c r="D21">
        <v>52</v>
      </c>
      <c r="E21">
        <v>0.94444444444444442</v>
      </c>
      <c r="F21">
        <v>0</v>
      </c>
      <c r="G21">
        <v>30.55</v>
      </c>
      <c r="H21">
        <v>0.16</v>
      </c>
      <c r="I21">
        <v>30.39</v>
      </c>
      <c r="J21">
        <v>561.08999999999901</v>
      </c>
      <c r="K21">
        <v>23.009999999999899</v>
      </c>
      <c r="L21">
        <v>1.3</v>
      </c>
      <c r="M21" t="s">
        <v>334</v>
      </c>
      <c r="N21">
        <v>12</v>
      </c>
      <c r="O21">
        <v>40</v>
      </c>
      <c r="P21">
        <v>25.74</v>
      </c>
      <c r="Q21">
        <v>3</v>
      </c>
      <c r="R21">
        <v>4.6500000000000004</v>
      </c>
      <c r="S21">
        <v>15.2</v>
      </c>
      <c r="T21">
        <v>14</v>
      </c>
      <c r="U21">
        <v>1.7</v>
      </c>
      <c r="V21">
        <v>51</v>
      </c>
      <c r="W21">
        <v>0</v>
      </c>
      <c r="X21">
        <v>0</v>
      </c>
      <c r="Y21">
        <v>0</v>
      </c>
      <c r="Z21">
        <v>0</v>
      </c>
      <c r="AA21">
        <v>30.39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45677</v>
      </c>
      <c r="B22" t="s">
        <v>313</v>
      </c>
      <c r="C22" t="s">
        <v>314</v>
      </c>
      <c r="D22">
        <v>41</v>
      </c>
      <c r="E22">
        <v>1</v>
      </c>
      <c r="F22">
        <v>2.1739130434782608E-2</v>
      </c>
      <c r="G22">
        <v>23.25</v>
      </c>
      <c r="H22">
        <v>0.16</v>
      </c>
      <c r="I22">
        <v>23.09</v>
      </c>
      <c r="J22">
        <v>418</v>
      </c>
      <c r="K22">
        <v>13</v>
      </c>
      <c r="L22">
        <v>0</v>
      </c>
      <c r="M22" t="s">
        <v>334</v>
      </c>
      <c r="N22">
        <v>10</v>
      </c>
      <c r="O22">
        <v>31</v>
      </c>
      <c r="P22">
        <v>19.45</v>
      </c>
      <c r="Q22">
        <v>0</v>
      </c>
      <c r="R22">
        <v>3.63</v>
      </c>
      <c r="S22">
        <v>19.28</v>
      </c>
      <c r="T22">
        <v>16.649999999999999</v>
      </c>
      <c r="U22">
        <v>1.76</v>
      </c>
      <c r="V22">
        <v>46</v>
      </c>
      <c r="W22">
        <v>0</v>
      </c>
      <c r="X22">
        <v>1</v>
      </c>
      <c r="Y22">
        <v>23.09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23.09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45670</v>
      </c>
      <c r="B23" t="s">
        <v>343</v>
      </c>
      <c r="C23" t="s">
        <v>344</v>
      </c>
      <c r="D23">
        <v>43</v>
      </c>
      <c r="E23">
        <v>1</v>
      </c>
      <c r="F23">
        <v>0</v>
      </c>
      <c r="G23">
        <v>26.88</v>
      </c>
      <c r="H23">
        <v>0</v>
      </c>
      <c r="I23">
        <v>26.88</v>
      </c>
      <c r="J23">
        <v>405.68</v>
      </c>
      <c r="K23">
        <v>14</v>
      </c>
      <c r="L23">
        <v>0</v>
      </c>
      <c r="M23" t="s">
        <v>345</v>
      </c>
      <c r="N23">
        <v>7</v>
      </c>
      <c r="O23">
        <v>36</v>
      </c>
      <c r="P23">
        <v>17.670000000000002</v>
      </c>
      <c r="Q23">
        <v>0</v>
      </c>
      <c r="R23">
        <v>9.2100000000000009</v>
      </c>
      <c r="S23">
        <v>10.25</v>
      </c>
      <c r="T23">
        <v>7.81</v>
      </c>
      <c r="U23">
        <v>1.6</v>
      </c>
      <c r="V23">
        <v>43</v>
      </c>
      <c r="W23">
        <v>0</v>
      </c>
      <c r="X23">
        <v>0</v>
      </c>
      <c r="Y23">
        <v>26.88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26.88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45677</v>
      </c>
      <c r="B24" t="s">
        <v>343</v>
      </c>
      <c r="C24" t="s">
        <v>344</v>
      </c>
      <c r="D24">
        <v>54</v>
      </c>
      <c r="E24">
        <v>0.97727272727272729</v>
      </c>
      <c r="F24">
        <v>0</v>
      </c>
      <c r="G24">
        <v>30.28</v>
      </c>
      <c r="H24">
        <v>0</v>
      </c>
      <c r="I24">
        <v>30.28</v>
      </c>
      <c r="J24">
        <v>446.52</v>
      </c>
      <c r="K24">
        <v>10</v>
      </c>
      <c r="L24">
        <v>0</v>
      </c>
      <c r="M24" t="s">
        <v>345</v>
      </c>
      <c r="N24">
        <v>6</v>
      </c>
      <c r="O24">
        <v>48</v>
      </c>
      <c r="P24">
        <v>19.5</v>
      </c>
      <c r="Q24">
        <v>0</v>
      </c>
      <c r="R24">
        <v>10.78</v>
      </c>
      <c r="S24">
        <v>9.89</v>
      </c>
      <c r="T24">
        <v>7.04</v>
      </c>
      <c r="U24">
        <v>1.78</v>
      </c>
      <c r="V24">
        <v>43</v>
      </c>
      <c r="W24">
        <v>1</v>
      </c>
      <c r="X24">
        <v>0</v>
      </c>
      <c r="Y24">
        <v>30.28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30.28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45670</v>
      </c>
      <c r="B25" t="s">
        <v>346</v>
      </c>
      <c r="C25" t="s">
        <v>347</v>
      </c>
      <c r="D25">
        <v>65</v>
      </c>
      <c r="E25">
        <v>1</v>
      </c>
      <c r="F25">
        <v>3.614457831325301E-2</v>
      </c>
      <c r="G25">
        <v>47.01</v>
      </c>
      <c r="H25">
        <v>0.02</v>
      </c>
      <c r="I25">
        <v>46.989999999999995</v>
      </c>
      <c r="J25">
        <v>622.45000000000005</v>
      </c>
      <c r="K25">
        <v>54.37</v>
      </c>
      <c r="L25">
        <v>0</v>
      </c>
      <c r="M25" t="s">
        <v>348</v>
      </c>
      <c r="N25">
        <v>16</v>
      </c>
      <c r="O25">
        <v>49</v>
      </c>
      <c r="P25">
        <v>33.67</v>
      </c>
      <c r="Q25">
        <v>0</v>
      </c>
      <c r="R25">
        <v>13.32</v>
      </c>
      <c r="S25">
        <v>21.43</v>
      </c>
      <c r="T25">
        <v>18.809999999999999</v>
      </c>
      <c r="U25">
        <v>1.38</v>
      </c>
      <c r="V25">
        <v>83</v>
      </c>
      <c r="W25">
        <v>0</v>
      </c>
      <c r="X25">
        <v>3</v>
      </c>
      <c r="Y25">
        <v>46.989999999999995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46.989999999999995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45677</v>
      </c>
      <c r="B26" t="s">
        <v>346</v>
      </c>
      <c r="C26" t="s">
        <v>347</v>
      </c>
      <c r="D26">
        <v>58</v>
      </c>
      <c r="E26">
        <v>0.98666666666666669</v>
      </c>
      <c r="F26">
        <v>4.0540540540540543E-2</v>
      </c>
      <c r="G26">
        <v>46.02</v>
      </c>
      <c r="H26">
        <v>0.02</v>
      </c>
      <c r="I26">
        <v>46</v>
      </c>
      <c r="J26">
        <v>595.29999999999995</v>
      </c>
      <c r="K26">
        <v>74.14</v>
      </c>
      <c r="L26">
        <v>0</v>
      </c>
      <c r="M26" t="s">
        <v>348</v>
      </c>
      <c r="N26">
        <v>14</v>
      </c>
      <c r="O26">
        <v>44</v>
      </c>
      <c r="P26">
        <v>30.75</v>
      </c>
      <c r="Q26">
        <v>1</v>
      </c>
      <c r="R26">
        <v>15.25</v>
      </c>
      <c r="S26">
        <v>26.38</v>
      </c>
      <c r="T26">
        <v>20.5</v>
      </c>
      <c r="U26">
        <v>1.26</v>
      </c>
      <c r="V26">
        <v>74</v>
      </c>
      <c r="W26">
        <v>0</v>
      </c>
      <c r="X26">
        <v>3</v>
      </c>
      <c r="Y26">
        <v>0</v>
      </c>
      <c r="Z26">
        <v>0</v>
      </c>
      <c r="AA26">
        <v>46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45670</v>
      </c>
      <c r="B27" t="s">
        <v>320</v>
      </c>
      <c r="C27" t="s">
        <v>321</v>
      </c>
      <c r="D27">
        <v>38</v>
      </c>
      <c r="E27">
        <v>0.90384615384615385</v>
      </c>
      <c r="F27">
        <v>0</v>
      </c>
      <c r="G27">
        <v>21.13</v>
      </c>
      <c r="H27">
        <v>0.2</v>
      </c>
      <c r="I27">
        <v>20.93</v>
      </c>
      <c r="J27">
        <v>412.12999999999897</v>
      </c>
      <c r="K27">
        <v>3</v>
      </c>
      <c r="L27">
        <v>0</v>
      </c>
      <c r="M27" t="s">
        <v>365</v>
      </c>
      <c r="N27">
        <v>4</v>
      </c>
      <c r="O27">
        <v>34</v>
      </c>
      <c r="P27">
        <v>18.22</v>
      </c>
      <c r="Q27">
        <v>5</v>
      </c>
      <c r="R27">
        <v>2.7</v>
      </c>
      <c r="S27">
        <v>1.25</v>
      </c>
      <c r="T27">
        <v>0.89</v>
      </c>
      <c r="U27">
        <v>1.8</v>
      </c>
      <c r="V27">
        <v>47</v>
      </c>
      <c r="W27">
        <v>0</v>
      </c>
      <c r="X27">
        <v>0</v>
      </c>
      <c r="Y27">
        <v>0</v>
      </c>
      <c r="Z27">
        <v>0</v>
      </c>
      <c r="AA27">
        <v>20.93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0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45677</v>
      </c>
      <c r="B28" t="s">
        <v>320</v>
      </c>
      <c r="C28" t="s">
        <v>321</v>
      </c>
      <c r="D28">
        <v>34</v>
      </c>
      <c r="E28">
        <v>0.84782608695652173</v>
      </c>
      <c r="F28">
        <v>2.564102564102564E-2</v>
      </c>
      <c r="G28">
        <v>20.25</v>
      </c>
      <c r="H28">
        <v>0.01</v>
      </c>
      <c r="I28">
        <v>20.239999999999998</v>
      </c>
      <c r="J28">
        <v>440.36999999999898</v>
      </c>
      <c r="K28">
        <v>27.83</v>
      </c>
      <c r="L28">
        <v>0</v>
      </c>
      <c r="M28" t="s">
        <v>365</v>
      </c>
      <c r="N28">
        <v>2</v>
      </c>
      <c r="O28">
        <v>32</v>
      </c>
      <c r="P28">
        <v>18.190000000000001</v>
      </c>
      <c r="Q28">
        <v>6</v>
      </c>
      <c r="R28">
        <v>2.06</v>
      </c>
      <c r="S28">
        <v>0</v>
      </c>
      <c r="T28">
        <v>0</v>
      </c>
      <c r="U28">
        <v>1.68</v>
      </c>
      <c r="V28">
        <v>39</v>
      </c>
      <c r="W28">
        <v>1</v>
      </c>
      <c r="X28">
        <v>1</v>
      </c>
      <c r="Y28">
        <v>0</v>
      </c>
      <c r="Z28">
        <v>0</v>
      </c>
      <c r="AA28">
        <v>20.239999999999998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0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45670</v>
      </c>
      <c r="B29" t="s">
        <v>356</v>
      </c>
      <c r="C29" t="s">
        <v>357</v>
      </c>
      <c r="D29">
        <v>71</v>
      </c>
      <c r="E29">
        <v>0.84</v>
      </c>
      <c r="F29">
        <v>2.3809523809523808E-2</v>
      </c>
      <c r="G29">
        <v>36.19</v>
      </c>
      <c r="H29">
        <v>0.96</v>
      </c>
      <c r="I29">
        <v>35.229999999999997</v>
      </c>
      <c r="J29">
        <v>664.98</v>
      </c>
      <c r="K29">
        <v>59.13</v>
      </c>
      <c r="L29">
        <v>0</v>
      </c>
      <c r="M29" t="s">
        <v>358</v>
      </c>
      <c r="N29">
        <v>15</v>
      </c>
      <c r="O29">
        <v>56</v>
      </c>
      <c r="P29">
        <v>32.85</v>
      </c>
      <c r="Q29">
        <v>5</v>
      </c>
      <c r="R29">
        <v>2.38</v>
      </c>
      <c r="S29">
        <v>19.760000000000002</v>
      </c>
      <c r="T29">
        <v>17.77</v>
      </c>
      <c r="U29">
        <v>1.96</v>
      </c>
      <c r="V29">
        <v>84</v>
      </c>
      <c r="W29">
        <v>11</v>
      </c>
      <c r="X29">
        <v>2</v>
      </c>
      <c r="Y29">
        <v>0</v>
      </c>
      <c r="Z29">
        <v>0</v>
      </c>
      <c r="AA29">
        <v>35.229999999999997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45677</v>
      </c>
      <c r="B30" t="s">
        <v>356</v>
      </c>
      <c r="C30" t="s">
        <v>357</v>
      </c>
      <c r="D30">
        <v>42</v>
      </c>
      <c r="E30">
        <v>0.88235294117647056</v>
      </c>
      <c r="F30">
        <v>0</v>
      </c>
      <c r="G30">
        <v>24.43</v>
      </c>
      <c r="H30">
        <v>0</v>
      </c>
      <c r="I30">
        <v>24.43</v>
      </c>
      <c r="J30">
        <v>355.25</v>
      </c>
      <c r="K30">
        <v>3</v>
      </c>
      <c r="L30">
        <v>0</v>
      </c>
      <c r="M30" t="s">
        <v>358</v>
      </c>
      <c r="N30">
        <v>5</v>
      </c>
      <c r="O30">
        <v>37</v>
      </c>
      <c r="P30">
        <v>17.03</v>
      </c>
      <c r="Q30">
        <v>5</v>
      </c>
      <c r="R30">
        <v>7.39</v>
      </c>
      <c r="S30">
        <v>23.51</v>
      </c>
      <c r="T30">
        <v>16.18</v>
      </c>
      <c r="U30">
        <v>1.72</v>
      </c>
      <c r="V30">
        <v>45</v>
      </c>
      <c r="W30">
        <v>1</v>
      </c>
      <c r="X30">
        <v>0</v>
      </c>
      <c r="Y30">
        <v>0</v>
      </c>
      <c r="Z30">
        <v>0</v>
      </c>
      <c r="AA30">
        <v>24.43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45670</v>
      </c>
      <c r="B31" t="s">
        <v>311</v>
      </c>
      <c r="C31" t="s">
        <v>315</v>
      </c>
      <c r="D31">
        <v>17</v>
      </c>
      <c r="E31">
        <v>1</v>
      </c>
      <c r="F31">
        <v>0</v>
      </c>
      <c r="G31">
        <v>14.75</v>
      </c>
      <c r="H31">
        <v>1.76</v>
      </c>
      <c r="I31">
        <v>12.99</v>
      </c>
      <c r="J31">
        <v>183.61</v>
      </c>
      <c r="K31">
        <v>0</v>
      </c>
      <c r="L31">
        <v>0</v>
      </c>
      <c r="M31" t="s">
        <v>338</v>
      </c>
      <c r="N31">
        <v>5</v>
      </c>
      <c r="O31">
        <v>12</v>
      </c>
      <c r="P31">
        <v>9.9</v>
      </c>
      <c r="Q31">
        <v>0</v>
      </c>
      <c r="R31">
        <v>3.09</v>
      </c>
      <c r="S31">
        <v>9.15</v>
      </c>
      <c r="T31">
        <v>6.57</v>
      </c>
      <c r="U31">
        <v>1.1499999999999999</v>
      </c>
      <c r="V31">
        <v>27</v>
      </c>
      <c r="W31">
        <v>0</v>
      </c>
      <c r="X31">
        <v>0</v>
      </c>
      <c r="Y31">
        <v>12.99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12.99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45677</v>
      </c>
      <c r="B32" t="s">
        <v>311</v>
      </c>
      <c r="C32" t="s">
        <v>315</v>
      </c>
      <c r="D32">
        <v>56</v>
      </c>
      <c r="E32">
        <v>1</v>
      </c>
      <c r="F32">
        <v>2.6315789473684209E-2</v>
      </c>
      <c r="G32">
        <v>39.619999999999997</v>
      </c>
      <c r="H32">
        <v>1.99</v>
      </c>
      <c r="I32">
        <v>37.629999999999995</v>
      </c>
      <c r="J32">
        <v>617.16999999999996</v>
      </c>
      <c r="K32">
        <v>29</v>
      </c>
      <c r="L32">
        <v>0</v>
      </c>
      <c r="M32" t="s">
        <v>338</v>
      </c>
      <c r="N32">
        <v>6</v>
      </c>
      <c r="O32">
        <v>50</v>
      </c>
      <c r="P32">
        <v>28.28</v>
      </c>
      <c r="Q32">
        <v>0</v>
      </c>
      <c r="R32">
        <v>9.35</v>
      </c>
      <c r="S32">
        <v>12.25</v>
      </c>
      <c r="T32">
        <v>9.5500000000000007</v>
      </c>
      <c r="U32">
        <v>1.41</v>
      </c>
      <c r="V32">
        <v>76</v>
      </c>
      <c r="W32">
        <v>0</v>
      </c>
      <c r="X32">
        <v>2</v>
      </c>
      <c r="Y32">
        <v>37.629999999999995</v>
      </c>
      <c r="Z32">
        <v>0</v>
      </c>
      <c r="AA32">
        <v>0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37.629999999999995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45670</v>
      </c>
      <c r="B33" t="s">
        <v>316</v>
      </c>
      <c r="C33" t="s">
        <v>317</v>
      </c>
      <c r="D33">
        <v>78</v>
      </c>
      <c r="E33">
        <v>1</v>
      </c>
      <c r="F33">
        <v>0</v>
      </c>
      <c r="G33">
        <v>35.19</v>
      </c>
      <c r="H33">
        <v>0.01</v>
      </c>
      <c r="I33">
        <v>35.18</v>
      </c>
      <c r="J33">
        <v>742.28</v>
      </c>
      <c r="K33">
        <v>13.5</v>
      </c>
      <c r="L33">
        <v>0</v>
      </c>
      <c r="M33" t="s">
        <v>342</v>
      </c>
      <c r="N33">
        <v>10</v>
      </c>
      <c r="O33">
        <v>68</v>
      </c>
      <c r="P33">
        <v>33.549999999999997</v>
      </c>
      <c r="Q33">
        <v>0</v>
      </c>
      <c r="R33">
        <v>1.63</v>
      </c>
      <c r="S33">
        <v>0</v>
      </c>
      <c r="T33">
        <v>0</v>
      </c>
      <c r="U33">
        <v>2.2200000000000002</v>
      </c>
      <c r="V33">
        <v>81</v>
      </c>
      <c r="W33">
        <v>0</v>
      </c>
      <c r="X33">
        <v>0</v>
      </c>
      <c r="Y33">
        <v>35.18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35.18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45677</v>
      </c>
      <c r="B34" t="s">
        <v>316</v>
      </c>
      <c r="C34" t="s">
        <v>317</v>
      </c>
      <c r="D34">
        <v>104</v>
      </c>
      <c r="E34">
        <v>0.99090909090909096</v>
      </c>
      <c r="F34">
        <v>0</v>
      </c>
      <c r="G34">
        <v>42.12</v>
      </c>
      <c r="H34">
        <v>0.01</v>
      </c>
      <c r="I34">
        <v>42.11</v>
      </c>
      <c r="J34">
        <v>1004.27</v>
      </c>
      <c r="K34">
        <v>11</v>
      </c>
      <c r="L34">
        <v>0</v>
      </c>
      <c r="M34" t="s">
        <v>342</v>
      </c>
      <c r="N34">
        <v>5</v>
      </c>
      <c r="O34">
        <v>99</v>
      </c>
      <c r="P34">
        <v>40.65</v>
      </c>
      <c r="Q34">
        <v>1</v>
      </c>
      <c r="R34">
        <v>1.46</v>
      </c>
      <c r="S34">
        <v>3.21</v>
      </c>
      <c r="T34">
        <v>3.2</v>
      </c>
      <c r="U34">
        <v>2.4700000000000002</v>
      </c>
      <c r="V34">
        <v>109</v>
      </c>
      <c r="W34">
        <v>0</v>
      </c>
      <c r="X34">
        <v>0</v>
      </c>
      <c r="Y34">
        <v>42.11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42.11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45670</v>
      </c>
      <c r="B35" t="s">
        <v>349</v>
      </c>
      <c r="C35" t="s">
        <v>350</v>
      </c>
      <c r="D35">
        <v>35</v>
      </c>
      <c r="E35">
        <v>1</v>
      </c>
      <c r="F35">
        <v>0</v>
      </c>
      <c r="G35">
        <v>22.11</v>
      </c>
      <c r="H35">
        <v>0.11</v>
      </c>
      <c r="I35">
        <v>22</v>
      </c>
      <c r="J35">
        <v>297.14999999999901</v>
      </c>
      <c r="K35">
        <v>19</v>
      </c>
      <c r="L35">
        <v>0</v>
      </c>
      <c r="M35" t="s">
        <v>351</v>
      </c>
      <c r="N35">
        <v>2</v>
      </c>
      <c r="O35">
        <v>33</v>
      </c>
      <c r="P35">
        <v>12.83</v>
      </c>
      <c r="Q35">
        <v>0</v>
      </c>
      <c r="R35">
        <v>9.17</v>
      </c>
      <c r="S35">
        <v>0</v>
      </c>
      <c r="T35">
        <v>0</v>
      </c>
      <c r="U35">
        <v>1.58</v>
      </c>
      <c r="V35">
        <v>42</v>
      </c>
      <c r="W35">
        <v>0</v>
      </c>
      <c r="X35">
        <v>0</v>
      </c>
      <c r="Y35">
        <v>22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22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45677</v>
      </c>
      <c r="B36" t="s">
        <v>349</v>
      </c>
      <c r="C36" t="s">
        <v>350</v>
      </c>
      <c r="D36">
        <v>34</v>
      </c>
      <c r="E36">
        <v>1</v>
      </c>
      <c r="F36">
        <v>0</v>
      </c>
      <c r="G36">
        <v>21.69</v>
      </c>
      <c r="H36">
        <v>0.19</v>
      </c>
      <c r="I36">
        <v>21.5</v>
      </c>
      <c r="J36">
        <v>282.25</v>
      </c>
      <c r="K36">
        <v>28.54</v>
      </c>
      <c r="L36">
        <v>0</v>
      </c>
      <c r="M36" t="s">
        <v>351</v>
      </c>
      <c r="N36">
        <v>4</v>
      </c>
      <c r="O36">
        <v>30</v>
      </c>
      <c r="P36">
        <v>14.37</v>
      </c>
      <c r="Q36">
        <v>0</v>
      </c>
      <c r="R36">
        <v>7.13</v>
      </c>
      <c r="S36">
        <v>0</v>
      </c>
      <c r="T36">
        <v>0</v>
      </c>
      <c r="U36">
        <v>1.57</v>
      </c>
      <c r="V36">
        <v>35</v>
      </c>
      <c r="W36">
        <v>0</v>
      </c>
      <c r="X36">
        <v>0</v>
      </c>
      <c r="Y36">
        <v>21.5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21.5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45670</v>
      </c>
      <c r="B37" t="s">
        <v>359</v>
      </c>
      <c r="C37" t="s">
        <v>360</v>
      </c>
      <c r="D37">
        <v>84</v>
      </c>
      <c r="E37">
        <v>0.95327102803738317</v>
      </c>
      <c r="F37">
        <v>1.9607843137254902E-2</v>
      </c>
      <c r="G37">
        <v>40.79</v>
      </c>
      <c r="H37">
        <v>0.33</v>
      </c>
      <c r="I37">
        <v>40.46</v>
      </c>
      <c r="J37">
        <v>839.33</v>
      </c>
      <c r="K37">
        <v>67.069999999999993</v>
      </c>
      <c r="L37">
        <v>1.5</v>
      </c>
      <c r="M37" t="s">
        <v>361</v>
      </c>
      <c r="N37">
        <v>13</v>
      </c>
      <c r="O37">
        <v>71</v>
      </c>
      <c r="P37">
        <v>36.549999999999997</v>
      </c>
      <c r="Q37">
        <v>0</v>
      </c>
      <c r="R37">
        <v>3.91</v>
      </c>
      <c r="S37">
        <v>14.73</v>
      </c>
      <c r="T37">
        <v>14.27</v>
      </c>
      <c r="U37">
        <v>2.06</v>
      </c>
      <c r="V37">
        <v>102</v>
      </c>
      <c r="W37">
        <v>5</v>
      </c>
      <c r="X37">
        <v>2</v>
      </c>
      <c r="Y37">
        <v>40.46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40.46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45677</v>
      </c>
      <c r="B38" t="s">
        <v>359</v>
      </c>
      <c r="C38" t="s">
        <v>360</v>
      </c>
      <c r="D38">
        <v>30</v>
      </c>
      <c r="E38">
        <v>0.96875</v>
      </c>
      <c r="F38">
        <v>3.2258064516129031E-2</v>
      </c>
      <c r="G38">
        <v>12.93</v>
      </c>
      <c r="H38">
        <v>0</v>
      </c>
      <c r="I38">
        <v>12.93</v>
      </c>
      <c r="J38">
        <v>265.58</v>
      </c>
      <c r="K38">
        <v>36.81</v>
      </c>
      <c r="L38">
        <v>0</v>
      </c>
      <c r="M38" t="s">
        <v>361</v>
      </c>
      <c r="N38">
        <v>6</v>
      </c>
      <c r="O38">
        <v>24</v>
      </c>
      <c r="P38">
        <v>12.83</v>
      </c>
      <c r="Q38">
        <v>0</v>
      </c>
      <c r="R38">
        <v>0.09</v>
      </c>
      <c r="S38">
        <v>9.43</v>
      </c>
      <c r="T38">
        <v>9.3800000000000008</v>
      </c>
      <c r="U38">
        <v>2.3199999999999998</v>
      </c>
      <c r="V38">
        <v>31</v>
      </c>
      <c r="W38">
        <v>1</v>
      </c>
      <c r="X38">
        <v>1</v>
      </c>
      <c r="Y38">
        <v>12.93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12.93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T14"/>
  <sheetViews>
    <sheetView showGridLines="0" topLeftCell="B1" zoomScaleNormal="100" workbookViewId="0">
      <selection activeCell="N9" sqref="N9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4" width="9" customWidth="1"/>
    <col min="5" max="5" width="22" bestFit="1" customWidth="1"/>
    <col min="6" max="7" width="9" customWidth="1"/>
    <col min="10" max="10" width="21.5703125" customWidth="1"/>
    <col min="11" max="11" width="9.85546875" customWidth="1"/>
    <col min="12" max="18" width="11" style="61" customWidth="1"/>
    <col min="19" max="19" width="12.42578125" style="61" customWidth="1"/>
    <col min="20" max="20" width="11.140625" bestFit="1" customWidth="1"/>
  </cols>
  <sheetData>
    <row r="3" spans="1:20" ht="45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  <c r="J3" s="98" t="s">
        <v>166</v>
      </c>
      <c r="K3" s="99" t="s">
        <v>114</v>
      </c>
      <c r="L3" s="100" t="s">
        <v>370</v>
      </c>
      <c r="M3" s="100" t="s">
        <v>204</v>
      </c>
      <c r="N3" s="100" t="s">
        <v>372</v>
      </c>
      <c r="O3" s="100" t="s">
        <v>116</v>
      </c>
      <c r="P3" s="100" t="s">
        <v>117</v>
      </c>
      <c r="Q3" s="100" t="s">
        <v>118</v>
      </c>
      <c r="R3" s="100" t="s">
        <v>371</v>
      </c>
      <c r="S3" s="101" t="s">
        <v>373</v>
      </c>
      <c r="T3" s="112" t="s">
        <v>374</v>
      </c>
    </row>
    <row r="4" spans="1:20" x14ac:dyDescent="0.25">
      <c r="A4" t="s">
        <v>34</v>
      </c>
      <c r="B4" t="s">
        <v>12</v>
      </c>
      <c r="C4">
        <v>50.15</v>
      </c>
      <c r="D4">
        <v>50</v>
      </c>
      <c r="E4">
        <v>0</v>
      </c>
      <c r="F4" s="97">
        <v>0</v>
      </c>
      <c r="J4" s="102" t="s">
        <v>34</v>
      </c>
      <c r="K4" s="103" t="s">
        <v>12</v>
      </c>
      <c r="L4" s="104">
        <v>50</v>
      </c>
      <c r="M4" s="104"/>
      <c r="N4" s="104">
        <f>+L4+M4</f>
        <v>50</v>
      </c>
      <c r="O4" s="104">
        <v>50.15</v>
      </c>
      <c r="P4" s="104">
        <v>50</v>
      </c>
      <c r="Q4" s="104">
        <v>0</v>
      </c>
      <c r="R4" s="104">
        <f>+P4+Q4</f>
        <v>50</v>
      </c>
      <c r="S4" s="110">
        <f t="shared" ref="S4:S13" si="0">+O4-R4</f>
        <v>0.14999999999999858</v>
      </c>
      <c r="T4" s="113">
        <f t="shared" ref="T4:T13" si="1">+O4/L4</f>
        <v>1.0029999999999999</v>
      </c>
    </row>
    <row r="5" spans="1:20" x14ac:dyDescent="0.25">
      <c r="A5" t="s">
        <v>34</v>
      </c>
      <c r="B5" t="s">
        <v>13</v>
      </c>
      <c r="C5">
        <v>50.01</v>
      </c>
      <c r="D5">
        <v>50</v>
      </c>
      <c r="E5">
        <v>0</v>
      </c>
      <c r="F5" s="97">
        <v>0</v>
      </c>
      <c r="J5" s="102" t="s">
        <v>34</v>
      </c>
      <c r="K5" s="103" t="s">
        <v>13</v>
      </c>
      <c r="L5" s="104">
        <v>50</v>
      </c>
      <c r="M5" s="104"/>
      <c r="N5" s="104">
        <f t="shared" ref="N5:N13" si="2">+L5+M5</f>
        <v>50</v>
      </c>
      <c r="O5" s="104">
        <v>50.01</v>
      </c>
      <c r="P5" s="104">
        <v>50</v>
      </c>
      <c r="Q5" s="104">
        <v>0</v>
      </c>
      <c r="R5" s="104">
        <f t="shared" ref="R5:R13" si="3">+P5+Q5</f>
        <v>50</v>
      </c>
      <c r="S5" s="110">
        <f t="shared" si="0"/>
        <v>9.9999999999980105E-3</v>
      </c>
      <c r="T5" s="114">
        <f t="shared" si="1"/>
        <v>1.0002</v>
      </c>
    </row>
    <row r="6" spans="1:20" x14ac:dyDescent="0.25">
      <c r="A6" t="s">
        <v>37</v>
      </c>
      <c r="B6" t="s">
        <v>12</v>
      </c>
      <c r="C6">
        <v>201.35000000000002</v>
      </c>
      <c r="D6">
        <v>140</v>
      </c>
      <c r="E6">
        <v>61.350000000000023</v>
      </c>
      <c r="F6" s="97">
        <f t="shared" ref="F6:F13" si="4">+C6-D6-E6</f>
        <v>0</v>
      </c>
      <c r="J6" s="102" t="s">
        <v>37</v>
      </c>
      <c r="K6" s="103" t="s">
        <v>12</v>
      </c>
      <c r="L6" s="104">
        <v>210</v>
      </c>
      <c r="M6" s="104"/>
      <c r="N6" s="104">
        <f t="shared" si="2"/>
        <v>210</v>
      </c>
      <c r="O6" s="104">
        <v>201.35000000000002</v>
      </c>
      <c r="P6" s="104">
        <v>140</v>
      </c>
      <c r="Q6" s="104">
        <v>61.350000000000023</v>
      </c>
      <c r="R6" s="104">
        <f t="shared" si="3"/>
        <v>201.35000000000002</v>
      </c>
      <c r="S6" s="110">
        <f t="shared" si="0"/>
        <v>0</v>
      </c>
      <c r="T6" s="114">
        <f t="shared" si="1"/>
        <v>0.95880952380952389</v>
      </c>
    </row>
    <row r="7" spans="1:20" x14ac:dyDescent="0.25">
      <c r="A7" t="s">
        <v>37</v>
      </c>
      <c r="B7" t="s">
        <v>13</v>
      </c>
      <c r="C7">
        <v>203.66000000000003</v>
      </c>
      <c r="D7">
        <v>140</v>
      </c>
      <c r="E7">
        <v>63.660000000000025</v>
      </c>
      <c r="F7" s="97">
        <v>0</v>
      </c>
      <c r="J7" s="102" t="s">
        <v>37</v>
      </c>
      <c r="K7" s="103" t="s">
        <v>13</v>
      </c>
      <c r="L7" s="104">
        <v>210</v>
      </c>
      <c r="M7" s="104"/>
      <c r="N7" s="104">
        <f t="shared" si="2"/>
        <v>210</v>
      </c>
      <c r="O7" s="104">
        <v>203.66000000000003</v>
      </c>
      <c r="P7" s="104">
        <v>140</v>
      </c>
      <c r="Q7" s="104">
        <v>63.660000000000025</v>
      </c>
      <c r="R7" s="104">
        <f t="shared" si="3"/>
        <v>203.66000000000003</v>
      </c>
      <c r="S7" s="110">
        <f t="shared" si="0"/>
        <v>0</v>
      </c>
      <c r="T7" s="114">
        <f t="shared" si="1"/>
        <v>0.9698095238095239</v>
      </c>
    </row>
    <row r="8" spans="1:20" x14ac:dyDescent="0.25">
      <c r="A8" t="s">
        <v>44</v>
      </c>
      <c r="B8" t="s">
        <v>12</v>
      </c>
      <c r="C8">
        <v>40.46</v>
      </c>
      <c r="D8">
        <v>40.46</v>
      </c>
      <c r="E8">
        <v>0</v>
      </c>
      <c r="F8" s="97">
        <f t="shared" si="4"/>
        <v>0</v>
      </c>
      <c r="J8" s="102" t="s">
        <v>44</v>
      </c>
      <c r="K8" s="103" t="s">
        <v>12</v>
      </c>
      <c r="L8" s="104">
        <v>60</v>
      </c>
      <c r="M8" s="104"/>
      <c r="N8" s="104">
        <f t="shared" si="2"/>
        <v>60</v>
      </c>
      <c r="O8" s="104">
        <v>40.46</v>
      </c>
      <c r="P8" s="104">
        <v>40.46</v>
      </c>
      <c r="Q8" s="104">
        <v>0</v>
      </c>
      <c r="R8" s="104">
        <f t="shared" si="3"/>
        <v>40.46</v>
      </c>
      <c r="S8" s="110">
        <f t="shared" si="0"/>
        <v>0</v>
      </c>
      <c r="T8" s="114">
        <f t="shared" si="1"/>
        <v>0.67433333333333334</v>
      </c>
    </row>
    <row r="9" spans="1:20" x14ac:dyDescent="0.25">
      <c r="A9" t="s">
        <v>44</v>
      </c>
      <c r="B9" t="s">
        <v>13</v>
      </c>
      <c r="C9">
        <v>12.93</v>
      </c>
      <c r="D9">
        <v>12.93</v>
      </c>
      <c r="E9">
        <v>0</v>
      </c>
      <c r="F9" s="97">
        <f t="shared" si="4"/>
        <v>0</v>
      </c>
      <c r="J9" s="102" t="s">
        <v>44</v>
      </c>
      <c r="K9" s="103" t="s">
        <v>13</v>
      </c>
      <c r="L9" s="104">
        <v>60</v>
      </c>
      <c r="M9" s="104"/>
      <c r="N9" s="104">
        <f t="shared" si="2"/>
        <v>60</v>
      </c>
      <c r="O9" s="104">
        <v>12.93</v>
      </c>
      <c r="P9" s="104">
        <v>12.93</v>
      </c>
      <c r="Q9" s="104">
        <v>0</v>
      </c>
      <c r="R9" s="104">
        <f t="shared" si="3"/>
        <v>12.93</v>
      </c>
      <c r="S9" s="110">
        <f t="shared" si="0"/>
        <v>0</v>
      </c>
      <c r="T9" s="114">
        <f t="shared" si="1"/>
        <v>0.2155</v>
      </c>
    </row>
    <row r="10" spans="1:20" x14ac:dyDescent="0.25">
      <c r="A10" t="s">
        <v>48</v>
      </c>
      <c r="B10" t="s">
        <v>12</v>
      </c>
      <c r="C10">
        <v>220.63999999999996</v>
      </c>
      <c r="D10">
        <v>140</v>
      </c>
      <c r="E10">
        <v>80</v>
      </c>
      <c r="F10" s="97">
        <v>0</v>
      </c>
      <c r="J10" s="102" t="s">
        <v>48</v>
      </c>
      <c r="K10" s="103" t="s">
        <v>12</v>
      </c>
      <c r="L10" s="104">
        <v>220</v>
      </c>
      <c r="M10" s="104"/>
      <c r="N10" s="104">
        <f t="shared" si="2"/>
        <v>220</v>
      </c>
      <c r="O10" s="104">
        <v>220.63999999999996</v>
      </c>
      <c r="P10" s="104">
        <v>140</v>
      </c>
      <c r="Q10" s="104">
        <v>80</v>
      </c>
      <c r="R10" s="104">
        <f t="shared" si="3"/>
        <v>220</v>
      </c>
      <c r="S10" s="110">
        <f t="shared" si="0"/>
        <v>0.63999999999995794</v>
      </c>
      <c r="T10" s="114">
        <f t="shared" si="1"/>
        <v>1.0029090909090908</v>
      </c>
    </row>
    <row r="11" spans="1:20" x14ac:dyDescent="0.25">
      <c r="A11" t="s">
        <v>48</v>
      </c>
      <c r="B11" t="s">
        <v>13</v>
      </c>
      <c r="C11">
        <v>220.75</v>
      </c>
      <c r="D11">
        <v>140</v>
      </c>
      <c r="E11">
        <v>80</v>
      </c>
      <c r="F11" s="108">
        <v>0</v>
      </c>
      <c r="J11" s="102" t="s">
        <v>48</v>
      </c>
      <c r="K11" s="103" t="s">
        <v>13</v>
      </c>
      <c r="L11" s="104">
        <v>220</v>
      </c>
      <c r="M11" s="104"/>
      <c r="N11" s="104">
        <f t="shared" si="2"/>
        <v>220</v>
      </c>
      <c r="O11" s="104">
        <v>220.75</v>
      </c>
      <c r="P11" s="104">
        <v>140</v>
      </c>
      <c r="Q11" s="104">
        <v>80</v>
      </c>
      <c r="R11" s="104">
        <f t="shared" si="3"/>
        <v>220</v>
      </c>
      <c r="S11" s="110">
        <f t="shared" si="0"/>
        <v>0.75</v>
      </c>
      <c r="T11" s="114">
        <f t="shared" si="1"/>
        <v>1.0034090909090909</v>
      </c>
    </row>
    <row r="12" spans="1:20" x14ac:dyDescent="0.25">
      <c r="A12" t="s">
        <v>65</v>
      </c>
      <c r="B12" t="s">
        <v>12</v>
      </c>
      <c r="C12">
        <v>101.46000000000001</v>
      </c>
      <c r="D12">
        <v>70</v>
      </c>
      <c r="E12">
        <v>31</v>
      </c>
      <c r="F12" s="109">
        <f t="shared" si="4"/>
        <v>0.46000000000000796</v>
      </c>
      <c r="J12" s="102" t="s">
        <v>65</v>
      </c>
      <c r="K12" s="103" t="s">
        <v>12</v>
      </c>
      <c r="L12" s="104">
        <v>100</v>
      </c>
      <c r="M12" s="104"/>
      <c r="N12" s="104">
        <f t="shared" si="2"/>
        <v>100</v>
      </c>
      <c r="O12" s="104">
        <v>101.46000000000001</v>
      </c>
      <c r="P12" s="104">
        <v>70</v>
      </c>
      <c r="Q12" s="104">
        <v>31</v>
      </c>
      <c r="R12" s="104">
        <f t="shared" si="3"/>
        <v>101</v>
      </c>
      <c r="S12" s="110">
        <f t="shared" si="0"/>
        <v>0.46000000000000796</v>
      </c>
      <c r="T12" s="114">
        <f t="shared" si="1"/>
        <v>1.0146000000000002</v>
      </c>
    </row>
    <row r="13" spans="1:20" x14ac:dyDescent="0.25">
      <c r="A13" t="s">
        <v>65</v>
      </c>
      <c r="B13" t="s">
        <v>13</v>
      </c>
      <c r="C13">
        <v>106.31</v>
      </c>
      <c r="D13">
        <v>70</v>
      </c>
      <c r="E13">
        <v>36</v>
      </c>
      <c r="F13" s="109">
        <f t="shared" si="4"/>
        <v>0.31000000000000227</v>
      </c>
      <c r="J13" s="105" t="s">
        <v>65</v>
      </c>
      <c r="K13" s="106" t="s">
        <v>13</v>
      </c>
      <c r="L13" s="107">
        <v>100</v>
      </c>
      <c r="M13" s="107"/>
      <c r="N13" s="104">
        <f t="shared" si="2"/>
        <v>100</v>
      </c>
      <c r="O13" s="107">
        <v>106.31</v>
      </c>
      <c r="P13" s="107">
        <v>70</v>
      </c>
      <c r="Q13" s="107">
        <v>36</v>
      </c>
      <c r="R13" s="107">
        <f t="shared" si="3"/>
        <v>106</v>
      </c>
      <c r="S13" s="111">
        <f t="shared" si="0"/>
        <v>0.31000000000000227</v>
      </c>
      <c r="T13" s="115">
        <f t="shared" si="1"/>
        <v>1.0630999999999999</v>
      </c>
    </row>
    <row r="14" spans="1:20" x14ac:dyDescent="0.25">
      <c r="A14" t="s">
        <v>322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workbookViewId="0">
      <selection activeCell="C1" sqref="C1:C104857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9.710937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50.15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2.3076923076923099E-2</v>
      </c>
      <c r="N2">
        <v>157.25</v>
      </c>
      <c r="O2">
        <v>0</v>
      </c>
      <c r="P2">
        <v>0.96570289132602205</v>
      </c>
      <c r="Q2">
        <v>78.625</v>
      </c>
      <c r="R2">
        <v>53.35</v>
      </c>
      <c r="S2">
        <v>0</v>
      </c>
      <c r="T2">
        <v>0</v>
      </c>
      <c r="U2">
        <v>1625.85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45670</v>
      </c>
      <c r="AE2" t="s">
        <v>34</v>
      </c>
      <c r="AF2">
        <v>111</v>
      </c>
      <c r="AG2">
        <v>50.15</v>
      </c>
      <c r="AH2">
        <v>0</v>
      </c>
      <c r="AI2">
        <v>11</v>
      </c>
      <c r="AJ2">
        <v>100</v>
      </c>
      <c r="AK2">
        <v>48.43</v>
      </c>
      <c r="AL2">
        <v>1.72</v>
      </c>
      <c r="AM2">
        <v>10.34</v>
      </c>
      <c r="AN2">
        <v>10.08</v>
      </c>
      <c r="AO2">
        <v>2.21</v>
      </c>
      <c r="AP2">
        <v>130</v>
      </c>
      <c r="AQ2">
        <v>0</v>
      </c>
      <c r="AR2">
        <v>3</v>
      </c>
      <c r="AS2">
        <v>50.15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1019.9</v>
      </c>
    </row>
    <row r="3" spans="1:62" x14ac:dyDescent="0.25">
      <c r="A3" t="s">
        <v>12</v>
      </c>
      <c r="B3">
        <v>220</v>
      </c>
      <c r="C3">
        <v>220.63999999999996</v>
      </c>
      <c r="D3">
        <v>140</v>
      </c>
      <c r="E3">
        <v>80</v>
      </c>
      <c r="F3">
        <v>1</v>
      </c>
      <c r="G3">
        <v>2866.5</v>
      </c>
      <c r="H3">
        <v>2132</v>
      </c>
      <c r="I3">
        <v>1538.0000000000002</v>
      </c>
      <c r="J3">
        <v>0</v>
      </c>
      <c r="K3">
        <v>0</v>
      </c>
      <c r="L3">
        <v>0.99206349206349198</v>
      </c>
      <c r="M3">
        <v>1.0666666666666699E-2</v>
      </c>
      <c r="N3">
        <v>769</v>
      </c>
      <c r="O3">
        <v>0</v>
      </c>
      <c r="P3">
        <v>0.72570703408266901</v>
      </c>
      <c r="Q3">
        <v>384.5</v>
      </c>
      <c r="R3">
        <v>118.37</v>
      </c>
      <c r="S3">
        <v>0</v>
      </c>
      <c r="T3">
        <v>0</v>
      </c>
      <c r="U3">
        <v>7808.37</v>
      </c>
      <c r="V3">
        <v>220</v>
      </c>
      <c r="W3">
        <v>220</v>
      </c>
      <c r="X3">
        <v>1538</v>
      </c>
      <c r="Y3">
        <v>1</v>
      </c>
      <c r="Z3">
        <v>220</v>
      </c>
      <c r="AA3">
        <v>0</v>
      </c>
      <c r="AB3">
        <v>769</v>
      </c>
      <c r="AC3">
        <v>0</v>
      </c>
      <c r="AD3" s="2">
        <v>45670</v>
      </c>
      <c r="AE3" t="s">
        <v>48</v>
      </c>
      <c r="AF3">
        <v>332</v>
      </c>
      <c r="AG3">
        <v>220.91999999999996</v>
      </c>
      <c r="AH3">
        <v>0.27999999999999997</v>
      </c>
      <c r="AI3">
        <v>46</v>
      </c>
      <c r="AJ3">
        <v>286</v>
      </c>
      <c r="AK3">
        <v>160.12</v>
      </c>
      <c r="AL3">
        <v>60.52</v>
      </c>
      <c r="AM3">
        <v>67.59</v>
      </c>
      <c r="AN3">
        <v>60.82</v>
      </c>
      <c r="AO3">
        <v>10.409999999999998</v>
      </c>
      <c r="AP3">
        <v>375</v>
      </c>
      <c r="AQ3">
        <v>2</v>
      </c>
      <c r="AR3">
        <v>4</v>
      </c>
      <c r="AS3">
        <v>194.91999999999996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3110.409999999998</v>
      </c>
    </row>
    <row r="4" spans="1:62" x14ac:dyDescent="0.25">
      <c r="A4" t="s">
        <v>12</v>
      </c>
      <c r="B4">
        <v>210</v>
      </c>
      <c r="C4">
        <v>201.35000000000002</v>
      </c>
      <c r="D4">
        <v>140</v>
      </c>
      <c r="E4">
        <v>61.350000000000023</v>
      </c>
      <c r="F4">
        <v>0.958809523809524</v>
      </c>
      <c r="G4">
        <v>2861.95</v>
      </c>
      <c r="H4">
        <v>1650.9285</v>
      </c>
      <c r="I4">
        <v>0</v>
      </c>
      <c r="J4">
        <v>0</v>
      </c>
      <c r="K4">
        <v>347.14450000000005</v>
      </c>
      <c r="L4">
        <v>0.96543209876543201</v>
      </c>
      <c r="M4">
        <v>1.5345268542199499E-2</v>
      </c>
      <c r="N4">
        <v>694.28899999999999</v>
      </c>
      <c r="O4">
        <v>0</v>
      </c>
      <c r="P4">
        <v>0.86858703749689603</v>
      </c>
      <c r="Q4">
        <v>347.14449999999999</v>
      </c>
      <c r="R4">
        <v>98.89</v>
      </c>
      <c r="S4">
        <v>2.0499999999999998</v>
      </c>
      <c r="T4">
        <v>0</v>
      </c>
      <c r="U4">
        <v>6002.3964999999998</v>
      </c>
      <c r="V4">
        <v>201.35000000000002</v>
      </c>
      <c r="W4">
        <v>210</v>
      </c>
      <c r="X4">
        <v>347.14449999999999</v>
      </c>
      <c r="Y4">
        <v>14</v>
      </c>
      <c r="Z4">
        <v>201.35000000000002</v>
      </c>
      <c r="AA4">
        <v>0</v>
      </c>
      <c r="AB4">
        <v>694.28899999999999</v>
      </c>
      <c r="AC4">
        <v>0</v>
      </c>
      <c r="AD4" s="2">
        <v>45670</v>
      </c>
      <c r="AE4" t="s">
        <v>37</v>
      </c>
      <c r="AF4">
        <v>349</v>
      </c>
      <c r="AG4">
        <v>209.08</v>
      </c>
      <c r="AH4">
        <v>7.7299999999999995</v>
      </c>
      <c r="AI4">
        <v>58</v>
      </c>
      <c r="AJ4">
        <v>291</v>
      </c>
      <c r="AK4">
        <v>174.89000000000001</v>
      </c>
      <c r="AL4">
        <v>26.439999999999994</v>
      </c>
      <c r="AM4">
        <v>83.39</v>
      </c>
      <c r="AN4">
        <v>75.55</v>
      </c>
      <c r="AO4">
        <v>11.430000000000001</v>
      </c>
      <c r="AP4">
        <v>391</v>
      </c>
      <c r="AQ4">
        <v>0</v>
      </c>
      <c r="AR4">
        <v>6</v>
      </c>
      <c r="AS4">
        <v>80.19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3770.1899999999969</v>
      </c>
    </row>
    <row r="5" spans="1:62" x14ac:dyDescent="0.25">
      <c r="A5" t="s">
        <v>12</v>
      </c>
      <c r="B5">
        <v>50</v>
      </c>
      <c r="C5">
        <v>40.46</v>
      </c>
      <c r="D5">
        <v>40.46</v>
      </c>
      <c r="E5">
        <v>0</v>
      </c>
      <c r="F5">
        <v>0.80920000000000003</v>
      </c>
      <c r="G5">
        <v>0</v>
      </c>
      <c r="H5">
        <v>0</v>
      </c>
      <c r="I5">
        <v>0</v>
      </c>
      <c r="J5">
        <v>0</v>
      </c>
      <c r="K5">
        <v>0</v>
      </c>
      <c r="L5">
        <v>0.95327102803738295</v>
      </c>
      <c r="M5">
        <v>1.9607843137254902E-2</v>
      </c>
      <c r="N5">
        <v>0</v>
      </c>
      <c r="O5">
        <v>0</v>
      </c>
      <c r="P5">
        <v>0.90336134453781503</v>
      </c>
      <c r="Q5">
        <v>0</v>
      </c>
      <c r="R5">
        <v>67.069999999999993</v>
      </c>
      <c r="S5">
        <v>1.5</v>
      </c>
      <c r="T5">
        <v>839.33</v>
      </c>
      <c r="U5">
        <v>907.9</v>
      </c>
      <c r="V5">
        <v>40.46</v>
      </c>
      <c r="W5">
        <v>50</v>
      </c>
      <c r="X5">
        <v>0</v>
      </c>
      <c r="Y5">
        <v>0</v>
      </c>
      <c r="Z5">
        <v>40.46</v>
      </c>
      <c r="AA5">
        <v>0</v>
      </c>
      <c r="AB5">
        <v>0</v>
      </c>
      <c r="AC5">
        <v>0</v>
      </c>
      <c r="AD5" s="2">
        <v>45670</v>
      </c>
      <c r="AE5" t="s">
        <v>44</v>
      </c>
      <c r="AF5">
        <v>84</v>
      </c>
      <c r="AG5">
        <v>40.79</v>
      </c>
      <c r="AH5">
        <v>0.33</v>
      </c>
      <c r="AI5">
        <v>13</v>
      </c>
      <c r="AJ5">
        <v>71</v>
      </c>
      <c r="AK5">
        <v>36.549999999999997</v>
      </c>
      <c r="AL5">
        <v>3.91</v>
      </c>
      <c r="AM5">
        <v>14.73</v>
      </c>
      <c r="AN5">
        <v>14.27</v>
      </c>
      <c r="AO5">
        <v>2.06</v>
      </c>
      <c r="AP5">
        <v>102</v>
      </c>
      <c r="AQ5">
        <v>5</v>
      </c>
      <c r="AR5">
        <v>2</v>
      </c>
      <c r="AS5">
        <v>40.46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0</v>
      </c>
      <c r="BJ5">
        <v>839.33</v>
      </c>
    </row>
    <row r="6" spans="1:62" x14ac:dyDescent="0.25">
      <c r="A6" t="s">
        <v>12</v>
      </c>
      <c r="B6">
        <v>101</v>
      </c>
      <c r="C6">
        <v>101.46000000000001</v>
      </c>
      <c r="D6">
        <v>70</v>
      </c>
      <c r="E6">
        <v>31</v>
      </c>
      <c r="F6">
        <v>1</v>
      </c>
      <c r="G6">
        <v>1430.9749999999999</v>
      </c>
      <c r="H6">
        <v>834.21</v>
      </c>
      <c r="I6">
        <v>696.98</v>
      </c>
      <c r="J6">
        <v>0</v>
      </c>
      <c r="K6">
        <v>0</v>
      </c>
      <c r="L6">
        <v>0.91346153846153799</v>
      </c>
      <c r="M6">
        <v>2.6315789473684199E-2</v>
      </c>
      <c r="N6">
        <v>0</v>
      </c>
      <c r="O6">
        <v>0</v>
      </c>
      <c r="P6">
        <v>0.79114922136802701</v>
      </c>
      <c r="Q6">
        <v>174.245</v>
      </c>
      <c r="R6">
        <v>102.74</v>
      </c>
      <c r="S6">
        <v>2.15</v>
      </c>
      <c r="T6">
        <v>0</v>
      </c>
      <c r="U6">
        <v>3241.3</v>
      </c>
      <c r="V6">
        <v>101</v>
      </c>
      <c r="W6">
        <v>100</v>
      </c>
      <c r="X6">
        <v>696.98</v>
      </c>
      <c r="Y6">
        <v>7</v>
      </c>
      <c r="Z6">
        <v>0</v>
      </c>
      <c r="AA6">
        <v>0</v>
      </c>
      <c r="AB6">
        <v>0</v>
      </c>
      <c r="AC6">
        <v>1</v>
      </c>
      <c r="AD6" s="2">
        <v>45670</v>
      </c>
      <c r="AE6" t="s">
        <v>65</v>
      </c>
      <c r="AF6">
        <v>165</v>
      </c>
      <c r="AG6">
        <v>102.72</v>
      </c>
      <c r="AH6">
        <v>1.26</v>
      </c>
      <c r="AI6">
        <v>29</v>
      </c>
      <c r="AJ6">
        <v>136</v>
      </c>
      <c r="AK6">
        <v>80.27</v>
      </c>
      <c r="AL6">
        <v>21.18</v>
      </c>
      <c r="AM6">
        <v>46.52</v>
      </c>
      <c r="AN6">
        <v>38.79</v>
      </c>
      <c r="AO6">
        <v>4.71</v>
      </c>
      <c r="AP6">
        <v>190</v>
      </c>
      <c r="AQ6">
        <v>11</v>
      </c>
      <c r="AR6">
        <v>5</v>
      </c>
      <c r="AS6">
        <v>38.660000000000004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101</v>
      </c>
      <c r="BJ6">
        <v>1728.0199999999979</v>
      </c>
    </row>
    <row r="7" spans="1:62" x14ac:dyDescent="0.25">
      <c r="A7" t="s">
        <v>13</v>
      </c>
      <c r="B7">
        <v>50</v>
      </c>
      <c r="C7">
        <v>50.01</v>
      </c>
      <c r="D7">
        <v>50</v>
      </c>
      <c r="E7">
        <v>0</v>
      </c>
      <c r="F7">
        <v>1</v>
      </c>
      <c r="G7">
        <v>1022.125</v>
      </c>
      <c r="H7">
        <v>0</v>
      </c>
      <c r="I7">
        <v>314.5</v>
      </c>
      <c r="J7">
        <v>0</v>
      </c>
      <c r="K7">
        <v>0</v>
      </c>
      <c r="L7">
        <v>0.99224806201550397</v>
      </c>
      <c r="M7">
        <v>3.90625E-2</v>
      </c>
      <c r="N7">
        <v>157.25</v>
      </c>
      <c r="O7">
        <v>0</v>
      </c>
      <c r="P7">
        <v>0.96600679864027195</v>
      </c>
      <c r="Q7">
        <v>78.625</v>
      </c>
      <c r="R7">
        <v>68.06</v>
      </c>
      <c r="S7">
        <v>0</v>
      </c>
      <c r="T7">
        <v>0</v>
      </c>
      <c r="U7">
        <v>1640.56</v>
      </c>
      <c r="V7">
        <v>50</v>
      </c>
      <c r="W7">
        <v>50</v>
      </c>
      <c r="X7">
        <v>314.5</v>
      </c>
      <c r="Y7">
        <v>0</v>
      </c>
      <c r="Z7">
        <v>50</v>
      </c>
      <c r="AA7">
        <v>0</v>
      </c>
      <c r="AB7">
        <v>157.25</v>
      </c>
      <c r="AC7">
        <v>0</v>
      </c>
      <c r="AD7" s="2">
        <v>45677</v>
      </c>
      <c r="AE7" t="s">
        <v>34</v>
      </c>
      <c r="AF7">
        <v>107</v>
      </c>
      <c r="AG7">
        <v>50.01</v>
      </c>
      <c r="AH7">
        <v>0</v>
      </c>
      <c r="AI7">
        <v>8</v>
      </c>
      <c r="AJ7">
        <v>99</v>
      </c>
      <c r="AK7">
        <v>48.31</v>
      </c>
      <c r="AL7">
        <v>1.69</v>
      </c>
      <c r="AM7">
        <v>10.45</v>
      </c>
      <c r="AN7">
        <v>10.210000000000001</v>
      </c>
      <c r="AO7">
        <v>2.14</v>
      </c>
      <c r="AP7">
        <v>128</v>
      </c>
      <c r="AQ7">
        <v>1</v>
      </c>
      <c r="AR7">
        <v>5</v>
      </c>
      <c r="AS7">
        <v>50.01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1030.8699999999999</v>
      </c>
    </row>
    <row r="8" spans="1:62" x14ac:dyDescent="0.25">
      <c r="A8" t="s">
        <v>13</v>
      </c>
      <c r="B8">
        <v>220</v>
      </c>
      <c r="C8">
        <v>220.75</v>
      </c>
      <c r="D8">
        <v>140</v>
      </c>
      <c r="E8">
        <v>80</v>
      </c>
      <c r="F8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0.99556541019955602</v>
      </c>
      <c r="M8">
        <v>1.1135857461024501E-2</v>
      </c>
      <c r="N8">
        <v>769</v>
      </c>
      <c r="O8">
        <v>0</v>
      </c>
      <c r="P8">
        <v>0.73775764439411096</v>
      </c>
      <c r="Q8">
        <v>384.5</v>
      </c>
      <c r="R8">
        <v>225.62</v>
      </c>
      <c r="S8">
        <v>0</v>
      </c>
      <c r="T8">
        <v>0</v>
      </c>
      <c r="U8">
        <v>7915.62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45677</v>
      </c>
      <c r="AE8" t="s">
        <v>48</v>
      </c>
      <c r="AF8">
        <v>395</v>
      </c>
      <c r="AG8">
        <v>220.98</v>
      </c>
      <c r="AH8">
        <v>0.23</v>
      </c>
      <c r="AI8">
        <v>58</v>
      </c>
      <c r="AJ8">
        <v>337</v>
      </c>
      <c r="AK8">
        <v>162.86000000000001</v>
      </c>
      <c r="AL8">
        <v>57.89</v>
      </c>
      <c r="AM8">
        <v>67.569999999999993</v>
      </c>
      <c r="AN8">
        <v>52.03</v>
      </c>
      <c r="AO8">
        <v>10.590000000000002</v>
      </c>
      <c r="AP8">
        <v>449</v>
      </c>
      <c r="AQ8">
        <v>1</v>
      </c>
      <c r="AR8">
        <v>5</v>
      </c>
      <c r="AS8">
        <v>174.75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3506.2199999999975</v>
      </c>
    </row>
    <row r="9" spans="1:62" x14ac:dyDescent="0.25">
      <c r="A9" t="s">
        <v>13</v>
      </c>
      <c r="B9">
        <v>210</v>
      </c>
      <c r="C9">
        <v>203.66000000000003</v>
      </c>
      <c r="D9">
        <v>140</v>
      </c>
      <c r="E9">
        <v>63.660000000000025</v>
      </c>
      <c r="F9">
        <v>0.96980952380952401</v>
      </c>
      <c r="G9">
        <v>2861.95</v>
      </c>
      <c r="H9">
        <v>1713.0906</v>
      </c>
      <c r="I9">
        <v>0</v>
      </c>
      <c r="J9">
        <v>703.8524000000001</v>
      </c>
      <c r="K9">
        <v>0</v>
      </c>
      <c r="L9">
        <v>0.98210290827740498</v>
      </c>
      <c r="M9">
        <v>1.5945330296127599E-2</v>
      </c>
      <c r="N9">
        <v>703.85239999999999</v>
      </c>
      <c r="O9">
        <v>0</v>
      </c>
      <c r="P9">
        <v>0.885397230678582</v>
      </c>
      <c r="Q9">
        <v>351.92619999999999</v>
      </c>
      <c r="R9">
        <v>146.08000000000001</v>
      </c>
      <c r="S9">
        <v>0</v>
      </c>
      <c r="T9">
        <v>0</v>
      </c>
      <c r="U9">
        <v>6480.7515999999996</v>
      </c>
      <c r="V9">
        <v>203.66000000000003</v>
      </c>
      <c r="W9">
        <v>210</v>
      </c>
      <c r="X9">
        <v>703.85239999999999</v>
      </c>
      <c r="Y9">
        <v>7</v>
      </c>
      <c r="Z9">
        <v>203.66000000000003</v>
      </c>
      <c r="AA9">
        <v>0</v>
      </c>
      <c r="AB9">
        <v>703.85239999999999</v>
      </c>
      <c r="AC9">
        <v>0</v>
      </c>
      <c r="AD9" s="2">
        <v>45677</v>
      </c>
      <c r="AE9" t="s">
        <v>37</v>
      </c>
      <c r="AF9">
        <v>398</v>
      </c>
      <c r="AG9">
        <v>210.48000000000002</v>
      </c>
      <c r="AH9">
        <v>6.8199999999999994</v>
      </c>
      <c r="AI9">
        <v>46</v>
      </c>
      <c r="AJ9">
        <v>352</v>
      </c>
      <c r="AK9">
        <v>180.32</v>
      </c>
      <c r="AL9">
        <v>23.34</v>
      </c>
      <c r="AM9">
        <v>82.88</v>
      </c>
      <c r="AN9">
        <v>73.649999999999991</v>
      </c>
      <c r="AO9">
        <v>13.02</v>
      </c>
      <c r="AP9">
        <v>439</v>
      </c>
      <c r="AQ9">
        <v>1</v>
      </c>
      <c r="AR9">
        <v>7</v>
      </c>
      <c r="AS9">
        <v>183.42000000000002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4134.7899999999972</v>
      </c>
    </row>
    <row r="10" spans="1:62" x14ac:dyDescent="0.25">
      <c r="A10" t="s">
        <v>13</v>
      </c>
      <c r="B10">
        <v>50</v>
      </c>
      <c r="C10">
        <v>12.93</v>
      </c>
      <c r="D10">
        <v>12.93</v>
      </c>
      <c r="E10">
        <v>0</v>
      </c>
      <c r="F10">
        <v>0.2586</v>
      </c>
      <c r="G10">
        <v>0</v>
      </c>
      <c r="H10">
        <v>0</v>
      </c>
      <c r="I10">
        <v>0</v>
      </c>
      <c r="J10">
        <v>0</v>
      </c>
      <c r="K10">
        <v>0</v>
      </c>
      <c r="L10">
        <v>0.96875</v>
      </c>
      <c r="M10">
        <v>3.2258064516128997E-2</v>
      </c>
      <c r="N10">
        <v>0</v>
      </c>
      <c r="O10">
        <v>0</v>
      </c>
      <c r="P10">
        <v>0.99226604795050299</v>
      </c>
      <c r="Q10">
        <v>0</v>
      </c>
      <c r="R10">
        <v>36.81</v>
      </c>
      <c r="S10">
        <v>0</v>
      </c>
      <c r="T10">
        <v>265.58</v>
      </c>
      <c r="U10">
        <v>302.39</v>
      </c>
      <c r="V10">
        <v>12.93</v>
      </c>
      <c r="W10">
        <v>50</v>
      </c>
      <c r="X10">
        <v>0</v>
      </c>
      <c r="Y10">
        <v>0</v>
      </c>
      <c r="Z10">
        <v>12.93</v>
      </c>
      <c r="AA10">
        <v>0</v>
      </c>
      <c r="AB10">
        <v>0</v>
      </c>
      <c r="AC10">
        <v>0</v>
      </c>
      <c r="AD10" s="2">
        <v>45677</v>
      </c>
      <c r="AE10" t="s">
        <v>44</v>
      </c>
      <c r="AF10">
        <v>30</v>
      </c>
      <c r="AG10">
        <v>12.93</v>
      </c>
      <c r="AH10">
        <v>0</v>
      </c>
      <c r="AI10">
        <v>6</v>
      </c>
      <c r="AJ10">
        <v>24</v>
      </c>
      <c r="AK10">
        <v>12.83</v>
      </c>
      <c r="AL10">
        <v>0.09</v>
      </c>
      <c r="AM10">
        <v>9.43</v>
      </c>
      <c r="AN10">
        <v>9.3800000000000008</v>
      </c>
      <c r="AO10">
        <v>2.3199999999999998</v>
      </c>
      <c r="AP10">
        <v>31</v>
      </c>
      <c r="AQ10">
        <v>1</v>
      </c>
      <c r="AR10">
        <v>1</v>
      </c>
      <c r="AS10">
        <v>12.93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265.58</v>
      </c>
    </row>
    <row r="11" spans="1:62" x14ac:dyDescent="0.25">
      <c r="A11" t="s">
        <v>13</v>
      </c>
      <c r="B11">
        <v>106</v>
      </c>
      <c r="C11">
        <v>106.31</v>
      </c>
      <c r="D11">
        <v>70</v>
      </c>
      <c r="E11">
        <v>36</v>
      </c>
      <c r="F11">
        <v>1</v>
      </c>
      <c r="G11">
        <v>1430.9749999999999</v>
      </c>
      <c r="H11">
        <v>968.76</v>
      </c>
      <c r="I11">
        <v>738.38</v>
      </c>
      <c r="J11">
        <v>0</v>
      </c>
      <c r="K11">
        <v>0</v>
      </c>
      <c r="L11">
        <v>0.95360824742268002</v>
      </c>
      <c r="M11">
        <v>5.40540540540541E-3</v>
      </c>
      <c r="N11">
        <v>369.19</v>
      </c>
      <c r="O11">
        <v>0</v>
      </c>
      <c r="P11">
        <v>0.73182202991251999</v>
      </c>
      <c r="Q11">
        <v>184.595</v>
      </c>
      <c r="R11">
        <v>77.3</v>
      </c>
      <c r="S11">
        <v>0</v>
      </c>
      <c r="T11">
        <v>0</v>
      </c>
      <c r="U11">
        <v>3769.2</v>
      </c>
      <c r="V11">
        <v>106</v>
      </c>
      <c r="W11">
        <v>100</v>
      </c>
      <c r="X11">
        <v>738.38</v>
      </c>
      <c r="Y11">
        <v>8</v>
      </c>
      <c r="Z11">
        <v>106</v>
      </c>
      <c r="AA11">
        <v>0</v>
      </c>
      <c r="AB11">
        <v>369.19</v>
      </c>
      <c r="AC11">
        <v>6</v>
      </c>
      <c r="AD11" s="2">
        <v>45677</v>
      </c>
      <c r="AE11" t="s">
        <v>65</v>
      </c>
      <c r="AF11">
        <v>169</v>
      </c>
      <c r="AG11">
        <v>107</v>
      </c>
      <c r="AH11">
        <v>0.69</v>
      </c>
      <c r="AI11">
        <v>23</v>
      </c>
      <c r="AJ11">
        <v>146</v>
      </c>
      <c r="AK11">
        <v>77.800000000000011</v>
      </c>
      <c r="AL11">
        <v>28.490000000000002</v>
      </c>
      <c r="AM11">
        <v>50.94</v>
      </c>
      <c r="AN11">
        <v>35.94</v>
      </c>
      <c r="AO11">
        <v>4.71</v>
      </c>
      <c r="AP11">
        <v>185</v>
      </c>
      <c r="AQ11">
        <v>1</v>
      </c>
      <c r="AR11">
        <v>1</v>
      </c>
      <c r="AS11">
        <v>81.88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1695.109999999999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20" t="s">
        <v>44</v>
      </c>
      <c r="C2" s="120"/>
      <c r="D2" s="120"/>
      <c r="E2" s="120"/>
      <c r="F2" s="120"/>
      <c r="H2" s="28" t="s">
        <v>104</v>
      </c>
      <c r="I2" s="29">
        <v>1083.23</v>
      </c>
      <c r="M2" s="8"/>
      <c r="V2" s="8"/>
      <c r="W2" s="95"/>
      <c r="X2" s="95" t="s">
        <v>105</v>
      </c>
      <c r="AA2" s="130" t="s">
        <v>106</v>
      </c>
      <c r="AB2" s="130"/>
      <c r="AC2" s="6"/>
      <c r="AD2" s="134" t="s">
        <v>108</v>
      </c>
      <c r="AE2" s="134"/>
      <c r="AF2" s="6"/>
      <c r="AG2" s="134"/>
      <c r="AH2" s="134"/>
      <c r="AK2" s="64"/>
      <c r="AL2" s="62" t="s">
        <v>107</v>
      </c>
      <c r="AM2" s="6"/>
      <c r="AO2" s="130" t="s">
        <v>108</v>
      </c>
      <c r="AP2" s="130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24" t="s">
        <v>111</v>
      </c>
      <c r="K4" s="125"/>
      <c r="L4" s="126"/>
      <c r="M4" s="121" t="s">
        <v>112</v>
      </c>
      <c r="N4" s="122"/>
      <c r="O4" s="122"/>
      <c r="P4" s="123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25.8</v>
      </c>
      <c r="E6" s="4">
        <v>25.8</v>
      </c>
      <c r="F6" s="4">
        <v>0</v>
      </c>
      <c r="G6" s="67">
        <v>0.43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1.4084507042253501E-2</v>
      </c>
      <c r="O6" s="8">
        <v>0</v>
      </c>
      <c r="P6" s="74">
        <v>0</v>
      </c>
      <c r="Q6" s="87">
        <v>0.95736434108527102</v>
      </c>
      <c r="R6" s="8">
        <v>0</v>
      </c>
      <c r="S6" s="8">
        <v>34.21</v>
      </c>
      <c r="T6" s="8">
        <v>0</v>
      </c>
      <c r="U6" s="8">
        <v>611.37</v>
      </c>
      <c r="V6" s="8">
        <v>645.58000000000004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75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50.050000000000004</v>
      </c>
      <c r="E7" s="4">
        <v>50.050000000000004</v>
      </c>
      <c r="F7" s="4">
        <v>0</v>
      </c>
      <c r="G7" s="67">
        <v>0.83416666666666694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0.98936170212765995</v>
      </c>
      <c r="N7" s="87">
        <v>1.0752688172042999E-2</v>
      </c>
      <c r="O7" s="8">
        <v>0</v>
      </c>
      <c r="P7" s="74">
        <v>0</v>
      </c>
      <c r="Q7" s="87">
        <v>0.87672327672327699</v>
      </c>
      <c r="R7" s="8">
        <v>0</v>
      </c>
      <c r="S7" s="8">
        <v>52</v>
      </c>
      <c r="T7" s="8">
        <v>0</v>
      </c>
      <c r="U7" s="8">
        <v>1003.65</v>
      </c>
      <c r="V7" s="8">
        <v>1055.6500000000001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75</v>
      </c>
      <c r="AQ7" s="8"/>
      <c r="AU7" s="6"/>
    </row>
    <row r="8" spans="2:47" x14ac:dyDescent="0.25">
      <c r="B8" s="25" t="s">
        <v>134</v>
      </c>
      <c r="C8" s="76">
        <v>120</v>
      </c>
      <c r="D8" s="26">
        <v>75.850000000000009</v>
      </c>
      <c r="E8" s="26">
        <v>75.850000000000009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86.21</v>
      </c>
      <c r="T8" s="27">
        <v>0</v>
      </c>
      <c r="U8" s="27">
        <v>1615.02</v>
      </c>
      <c r="V8" s="8">
        <v>1701.23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27" t="s">
        <v>135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9"/>
      <c r="M10" s="6"/>
      <c r="N10" s="6"/>
      <c r="O10" s="6"/>
      <c r="P10" s="6"/>
      <c r="Q10" s="6"/>
      <c r="R10" s="6"/>
      <c r="S10" s="6"/>
      <c r="T10" s="6"/>
      <c r="U10" s="6"/>
      <c r="W10" s="131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3"/>
      <c r="AK10" s="131"/>
      <c r="AL10" s="132"/>
      <c r="AM10" s="132"/>
      <c r="AP10" s="131" t="s">
        <v>137</v>
      </c>
      <c r="AQ10" s="132"/>
      <c r="AR10" s="132"/>
      <c r="AS10" s="132"/>
      <c r="AT10" s="132"/>
      <c r="AU10" s="133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45663</v>
      </c>
      <c r="C12" s="6" t="s">
        <v>359</v>
      </c>
      <c r="D12" s="6" t="s">
        <v>360</v>
      </c>
      <c r="E12" s="6">
        <v>90</v>
      </c>
      <c r="F12" s="66">
        <v>0.98936170212765961</v>
      </c>
      <c r="G12" s="67">
        <v>1.0752688172043012E-2</v>
      </c>
      <c r="H12" s="5">
        <v>50.06</v>
      </c>
      <c r="I12" s="5">
        <v>0.01</v>
      </c>
      <c r="J12" s="4">
        <v>50.050000000000004</v>
      </c>
      <c r="K12" s="4">
        <v>1003.65</v>
      </c>
      <c r="L12" s="3">
        <v>52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45656</v>
      </c>
      <c r="C13" s="6" t="s">
        <v>359</v>
      </c>
      <c r="D13" s="6" t="s">
        <v>360</v>
      </c>
      <c r="E13" s="6">
        <v>69</v>
      </c>
      <c r="F13" s="66">
        <v>1</v>
      </c>
      <c r="G13" s="67">
        <v>1.4084507042253521E-2</v>
      </c>
      <c r="H13" s="5">
        <v>25.8</v>
      </c>
      <c r="I13" s="5">
        <v>0</v>
      </c>
      <c r="J13" s="4">
        <v>25.8</v>
      </c>
      <c r="K13" s="4">
        <v>611.37</v>
      </c>
      <c r="L13" s="3">
        <v>34.21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5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6.85546875" bestFit="1" customWidth="1"/>
    <col min="4" max="4" width="7.42578125" bestFit="1" customWidth="1"/>
    <col min="5" max="5" width="9.5703125" bestFit="1" customWidth="1"/>
    <col min="6" max="6" width="29.710937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>
        <v>45670</v>
      </c>
      <c r="B2" s="2">
        <v>45677</v>
      </c>
      <c r="C2" t="s">
        <v>187</v>
      </c>
      <c r="D2">
        <v>1.5</v>
      </c>
      <c r="E2" t="s">
        <v>12</v>
      </c>
      <c r="F2" t="s">
        <v>44</v>
      </c>
      <c r="G2" t="s">
        <v>187</v>
      </c>
    </row>
    <row r="3" spans="1:7" x14ac:dyDescent="0.25">
      <c r="A3" s="2">
        <v>45670</v>
      </c>
      <c r="B3" s="2">
        <v>45677</v>
      </c>
      <c r="C3" t="s">
        <v>168</v>
      </c>
      <c r="D3">
        <v>0.75</v>
      </c>
      <c r="E3" t="s">
        <v>12</v>
      </c>
      <c r="F3" t="s">
        <v>37</v>
      </c>
      <c r="G3" t="s">
        <v>168</v>
      </c>
    </row>
    <row r="4" spans="1:7" x14ac:dyDescent="0.25">
      <c r="A4" s="2">
        <v>45670</v>
      </c>
      <c r="B4" s="2">
        <v>45677</v>
      </c>
      <c r="C4" t="s">
        <v>177</v>
      </c>
      <c r="D4">
        <v>1.3</v>
      </c>
      <c r="E4" t="s">
        <v>12</v>
      </c>
      <c r="F4" t="s">
        <v>37</v>
      </c>
      <c r="G4" t="s">
        <v>177</v>
      </c>
    </row>
    <row r="5" spans="1:7" x14ac:dyDescent="0.25">
      <c r="A5" s="2">
        <v>45670</v>
      </c>
      <c r="B5" s="2">
        <v>45677</v>
      </c>
      <c r="C5" t="s">
        <v>323</v>
      </c>
      <c r="D5">
        <v>2.15</v>
      </c>
      <c r="E5" t="s">
        <v>12</v>
      </c>
      <c r="F5" t="s">
        <v>65</v>
      </c>
      <c r="G5" t="s">
        <v>323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C:\Users\apple_gi6luwz\Big Star Transit LLC Dropbox\Big Star Transit LLC Team Folder\A ACCOUNTING\2025 A VENDOR PAY\Processed VDP\2025\02.14.2025 VDP remittance\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 xml:space="preserve">C:\Users\apple_gi6luwz\Big Star Transit LLC Dropbox\Big Star Transit LLC Team Folder\A ACCOUNTING\2025 A VENDOR PAY\Processed 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C:\Users\apple_gi6luwz\Big Star Transit LLC Dropbox\Big Star Transit LLC Team Folder\A ACCOUNTING\2025 A VENDOR PAY\Processed VDP\2025\02.14.2025 VDP remittance\RAW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C:\Users\apple_gi6luwz\Big Star Transit LLC Dropbox\Big Star Transit LLC Team Folder\A ACCOUNTING\2025 A VENDOR PAY\Processed VDP\2025\02.14.2025 VDP remittance\RAW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C:\Users\apple_gi6luwz\Big Star Transit LLC Dropbox\Big Star Transit LLC Team Folder\A ACCOUNTING\2025 A VENDOR PAY\Processed VDP\2025\02.14.2025 VDP remittance\Operator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C:\Users\apple_gi6luwz\Big Star Transit LLC Dropbox\Big Star Transit LLC Team Folder\A ACCOUNTING\2025 A VENDOR PAY\Processed 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C:\Users\apple_gi6luwz\Big Star Transit LLC Dropbox\Big Star Transit LLC Team Folder\A ACCOUNTING\2025 A VENDOR PAY\Processed 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C:\Users\apple_gi6luwz\Big Star Transit LLC Dropbox\Big Star Transit LLC Team Folder\A ACCOUNTING\2025 A VENDOR PAY\Processed 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C:\Users\apple_gi6luwz\Big Star Transit LLC Dropbox\Big Star Transit LLC Team Folder\A ACCOUNTING\2025 A VENDOR PAY\Processed VDP\2025\02.14.2025 VDP remittance\MPG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C:\Users\apple_gi6luwz\Big Star Transit LLC Dropbox\Big Star Transit LLC Team Folder\A ACCOUNTING\2025 A VENDOR PAY\Processed VDP\2025\02.14.2025 VDP remittance\AAA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C:\Users\apple_gi6luwz\Big Star Transit LLC Dropbox\Big Star Transit LLC Team Folder\A ACCOUNTING\2025 A VENDOR PAY\Processed VDP\2025\02.14.2025 VDP remittance\RAW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C:\Users\apple_gi6luwz\Big Star Transit LLC Dropbox\Big Star Transit LLC Team Folder\A ACCOUNTING\2025 A VENDOR PAY\Processed VDP\2025\02.14.2025 VDP remittance\RAW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D36F044-52DB-4E8A-9DA2-B8CF44E1FE05}"/>
</file>

<file path=customXml/itemProps3.xml><?xml version="1.0" encoding="utf-8"?>
<ds:datastoreItem xmlns:ds="http://schemas.openxmlformats.org/officeDocument/2006/customXml" ds:itemID="{9D01BED8-DD8D-4B44-B711-80274A2AF7E3}"/>
</file>

<file path=customXml/itemProps4.xml><?xml version="1.0" encoding="utf-8"?>
<ds:datastoreItem xmlns:ds="http://schemas.openxmlformats.org/officeDocument/2006/customXml" ds:itemID="{455E8218-315C-4A04-95DF-1944FF92B2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Apple Ramirez</cp:lastModifiedBy>
  <cp:revision/>
  <dcterms:created xsi:type="dcterms:W3CDTF">2023-08-16T16:37:36Z</dcterms:created>
  <dcterms:modified xsi:type="dcterms:W3CDTF">2025-02-11T15:28:47Z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