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pple_gi6luwz\Desktop\DIV2_Analysis\DIV2_Analysis\"/>
    </mc:Choice>
  </mc:AlternateContent>
  <xr:revisionPtr revIDLastSave="0" documentId="13_ncr:1_{AE1E3570-5AFE-4A7E-8EAA-019AB53761CA}" xr6:coauthVersionLast="47" xr6:coauthVersionMax="47" xr10:uidLastSave="{00000000-0000-0000-0000-000000000000}"/>
  <bookViews>
    <workbookView xWindow="540" yWindow="4410" windowWidth="28005" windowHeight="14610" firstSheet="1" activeTab="3" xr2:uid="{B8D06934-52C6-4BB8-B059-005FB850008B}"/>
  </bookViews>
  <sheets>
    <sheet name="SEND VDP Statement" sheetId="21" r:id="rId1"/>
    <sheet name="Pay Period" sheetId="3" r:id="rId2"/>
    <sheet name="Deduction and other Revenue" sheetId="11" state="hidden" r:id="rId3"/>
    <sheet name="PR" sheetId="12" r:id="rId4"/>
    <sheet name="PRExportPrep" sheetId="16" state="veryHidden" r:id="rId5"/>
    <sheet name="NewSheet" sheetId="8" r:id="rId6"/>
    <sheet name="VDPMVReport" sheetId="7" state="hidden" r:id="rId7"/>
    <sheet name="Sheet1" sheetId="22" r:id="rId8"/>
    <sheet name="SumVDPMVReport" sheetId="10" r:id="rId9"/>
    <sheet name="Div2PartnerOperatorCheck" sheetId="17" r:id="rId10"/>
    <sheet name="ExPre" sheetId="15" state="hidden" r:id="rId11"/>
    <sheet name="Div2PartnerListPR" sheetId="13" state="hidden" r:id="rId12"/>
    <sheet name="Div2PartnerList" sheetId="6" state="hidden" r:id="rId13"/>
    <sheet name="TollsChecks" sheetId="20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5" hidden="1">NewSheet!$B$11:$Q$29</definedName>
    <definedName name="Customer_ID">[1]INVOICE!$C$11</definedName>
    <definedName name="Customer_Name">[1]INVOICE!$H$7</definedName>
    <definedName name="ExternalData_1" localSheetId="12" hidden="1">Div2PartnerList!$A$1:$G$60</definedName>
    <definedName name="ExternalData_1" localSheetId="8" hidden="1">SumVDPMVReport!$A$1:$BJ$11</definedName>
    <definedName name="ExternalData_1" localSheetId="14" hidden="1">Tolls!$A$1:$G$2</definedName>
    <definedName name="ExternalData_2" localSheetId="2" hidden="1">'Deduction and other Revenue'!$A$1:$Q$11</definedName>
    <definedName name="ExternalData_2" localSheetId="11" hidden="1">Div2PartnerListPR!$A$1:$E$6</definedName>
    <definedName name="ExternalData_2" localSheetId="9" hidden="1">Div2PartnerOperatorCheck!$A$1:$D$60</definedName>
    <definedName name="ExternalData_2" localSheetId="13" hidden="1">TollsChecks!$A$1:$G$2</definedName>
    <definedName name="ExternalData_2" localSheetId="6" hidden="1">VDPMVReport!$A$1:$AK$35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1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22" l="1"/>
  <c r="T5" i="22"/>
  <c r="T6" i="22"/>
  <c r="T7" i="22"/>
  <c r="T8" i="22"/>
  <c r="T9" i="22"/>
  <c r="T10" i="22"/>
  <c r="T11" i="22"/>
  <c r="T12" i="22"/>
  <c r="T13" i="22"/>
  <c r="R4" i="22"/>
  <c r="S4" i="22" s="1"/>
  <c r="R5" i="22"/>
  <c r="S5" i="22" s="1"/>
  <c r="R6" i="22"/>
  <c r="S6" i="22" s="1"/>
  <c r="R7" i="22"/>
  <c r="S7" i="22" s="1"/>
  <c r="R8" i="22"/>
  <c r="S8" i="22" s="1"/>
  <c r="R9" i="22"/>
  <c r="S9" i="22" s="1"/>
  <c r="R10" i="22"/>
  <c r="S10" i="22" s="1"/>
  <c r="R11" i="22"/>
  <c r="S11" i="22" s="1"/>
  <c r="R12" i="22"/>
  <c r="S12" i="22" s="1"/>
  <c r="R13" i="22"/>
  <c r="S13" i="22" s="1"/>
  <c r="N13" i="22"/>
  <c r="N12" i="22"/>
  <c r="N11" i="22"/>
  <c r="N10" i="22"/>
  <c r="N9" i="22"/>
  <c r="N8" i="22"/>
  <c r="N7" i="22"/>
  <c r="N6" i="22"/>
  <c r="N5" i="22"/>
  <c r="N4" i="22"/>
  <c r="F13" i="22"/>
  <c r="F12" i="22"/>
  <c r="F9" i="22"/>
  <c r="F8" i="22"/>
  <c r="F6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D6" i="12" l="1"/>
  <c r="J6" i="12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6" i="12" a="1"/>
  <c r="K6" i="12" s="1"/>
  <c r="K14" i="12" s="1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<sst xmlns="http://schemas.openxmlformats.org/spreadsheetml/2006/main" count="1173" uniqueCount="353">
  <si>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</si>
  <si>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</si>
  <si>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</si>
  <si>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</si>
  <si>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</si>
  <si>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</si>
  <si>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</si>
  <si>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</si>
  <si>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</si>
  <si>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</si>
  <si>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</si>
  <si>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</si>
  <si>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</si>
  <si>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</si>
  <si>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</si>
  <si>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</si>
  <si>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</si>
  <si>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</si>
  <si>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</si>
  <si>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</si>
  <si>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</si>
  <si>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</si>
  <si>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</si>
  <si>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</si>
  <si>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</si>
  <si>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</si>
  <si>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</si>
  <si>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</si>
  <si>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</si>
  <si>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</si>
  <si>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</si>
  <si>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MODIVCARE</t>
  </si>
  <si>
    <t>BEYOND EXPRESS</t>
  </si>
  <si>
    <t>UBER WAV TRANSIT</t>
  </si>
  <si>
    <t>CIRCLE TRANSIT</t>
  </si>
  <si>
    <t>1012</t>
  </si>
  <si>
    <t>DEAN LOGISTICS SOLUTIONS LLC</t>
  </si>
  <si>
    <t>DIRECT TRANSIT LLC</t>
  </si>
  <si>
    <t>1001</t>
  </si>
  <si>
    <t>2701</t>
  </si>
  <si>
    <t>Q-TELL TRANSIT LLC</t>
  </si>
  <si>
    <t>4404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</si>
  <si>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</si>
  <si>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</si>
  <si>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</si>
  <si>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</si>
  <si>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</si>
  <si>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</si>
  <si>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</si>
  <si>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</si>
  <si>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</si>
  <si>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</si>
  <si>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</si>
  <si>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</si>
  <si>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</si>
  <si>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</si>
  <si>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</si>
  <si>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</si>
  <si>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</si>
  <si>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</si>
  <si>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</si>
  <si>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</si>
  <si>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</si>
  <si>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</si>
  <si>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</si>
  <si>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</si>
  <si>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</si>
  <si>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</si>
  <si>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</si>
  <si>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</si>
  <si>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</si>
  <si>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</si>
  <si>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</si>
  <si>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</si>
  <si>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</si>
  <si>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</si>
  <si>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</si>
  <si>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</si>
  <si>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</si>
  <si>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</si>
  <si>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</si>
  <si>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</si>
  <si>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</si>
  <si>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</si>
  <si>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</si>
  <si>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</si>
  <si>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</si>
  <si>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</si>
  <si>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</si>
  <si>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</si>
  <si>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</si>
  <si>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</si>
  <si>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</si>
  <si>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</si>
  <si>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</si>
  <si>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</si>
  <si>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</si>
  <si>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</si>
  <si>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</si>
  <si>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</si>
  <si>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</si>
  <si>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</si>
  <si>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</si>
  <si>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</si>
  <si>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</si>
  <si>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</si>
  <si>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</si>
  <si>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</si>
  <si>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</si>
  <si>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</si>
  <si>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</si>
  <si>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</si>
  <si>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</si>
  <si>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</si>
  <si>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</si>
  <si>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</si>
  <si>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</si>
  <si>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</si>
  <si>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</si>
  <si>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</si>
  <si>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</si>
  <si>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</si>
  <si>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</si>
  <si>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</si>
  <si>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</si>
  <si>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</si>
  <si>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</si>
  <si>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</si>
  <si>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</si>
  <si>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</si>
  <si>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</si>
  <si>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</si>
  <si>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</si>
  <si>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</si>
  <si>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</si>
  <si>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</si>
  <si>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</si>
  <si>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</si>
  <si>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</si>
  <si>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</si>
  <si>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</si>
  <si>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</si>
  <si>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</si>
  <si>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</si>
  <si>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</si>
  <si>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</si>
  <si>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</si>
  <si>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</si>
  <si>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</si>
  <si>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</si>
  <si>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</si>
  <si>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</si>
  <si>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</si>
  <si>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</si>
  <si>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</si>
  <si>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</si>
  <si>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</si>
  <si>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</si>
  <si>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</si>
  <si>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</si>
  <si>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</si>
  <si>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</si>
  <si>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</si>
  <si>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</si>
  <si>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</si>
  <si>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</si>
  <si>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</si>
  <si>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</si>
  <si>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</si>
  <si>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</si>
  <si>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</si>
  <si>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</si>
  <si>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</si>
  <si>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</si>
  <si>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</si>
  <si>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</si>
  <si>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</si>
  <si>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</si>
  <si>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</si>
  <si>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</si>
  <si>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</si>
  <si>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</si>
  <si>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</si>
  <si>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</si>
  <si>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</si>
  <si>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</si>
  <si>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</si>
  <si>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</si>
  <si>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</si>
  <si>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</si>
  <si>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</si>
  <si>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</si>
  <si>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</si>
  <si>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</si>
  <si>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</si>
  <si>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</si>
  <si>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</si>
  <si>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</si>
  <si>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</si>
  <si>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</si>
  <si>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</si>
  <si>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</si>
  <si>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</si>
  <si>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</si>
  <si>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</si>
  <si>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</si>
  <si>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</si>
  <si>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</si>
  <si>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</si>
  <si>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</si>
  <si>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</si>
  <si>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</si>
  <si>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</si>
  <si>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</si>
  <si>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</si>
  <si>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</si>
  <si>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</si>
  <si>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</si>
  <si>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</si>
  <si>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</si>
  <si>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</si>
  <si>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</si>
  <si>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</si>
  <si>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</si>
  <si>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</si>
  <si>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</si>
  <si>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</si>
  <si>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</si>
  <si>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</si>
  <si>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</si>
  <si>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</si>
  <si>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</si>
  <si>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</si>
  <si>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</si>
  <si>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</si>
  <si>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</si>
  <si>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</si>
  <si>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</si>
  <si>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</si>
  <si>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</si>
  <si>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</si>
  <si>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</si>
  <si>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</si>
  <si>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</si>
  <si>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</si>
  <si>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</si>
  <si>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</si>
  <si>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</si>
  <si>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</si>
  <si>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</si>
  <si>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</si>
  <si>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</si>
  <si>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</si>
  <si>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</si>
  <si>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</si>
  <si>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</si>
  <si>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</si>
  <si>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</si>
  <si>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</si>
  <si>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</si>
  <si>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</si>
  <si>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</si>
  <si>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</si>
  <si>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</si>
  <si>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</si>
  <si>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</si>
  <si>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</si>
  <si>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</si>
  <si>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</si>
  <si>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</si>
  <si>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</si>
  <si>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</si>
  <si>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</si>
  <si>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</si>
  <si>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</si>
  <si>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</si>
  <si>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</si>
  <si>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</si>
  <si>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</si>
  <si>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</si>
  <si>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BRENDA</t>
  </si>
  <si>
    <t>LUMPKIN</t>
  </si>
  <si>
    <t>Dennis</t>
  </si>
  <si>
    <t>Jones</t>
  </si>
  <si>
    <t>STERLING</t>
  </si>
  <si>
    <t>ROGERS</t>
  </si>
  <si>
    <t>Jones Jr</t>
  </si>
  <si>
    <t>HENRY</t>
  </si>
  <si>
    <t>PINCKNEY</t>
  </si>
  <si>
    <t>Ethel</t>
  </si>
  <si>
    <t>Stewart</t>
  </si>
  <si>
    <t>Sarah</t>
  </si>
  <si>
    <t>Reinhard</t>
  </si>
  <si>
    <t>Grand Total</t>
  </si>
  <si>
    <t>WALTER BURTON</t>
  </si>
  <si>
    <t>DIV2-IL</t>
  </si>
  <si>
    <t>Extra hours</t>
  </si>
  <si>
    <t>MICHAEL</t>
  </si>
  <si>
    <t>WESLEY</t>
  </si>
  <si>
    <t>8a53631f-e95d-497e-9f6b-94a59bf6f636</t>
  </si>
  <si>
    <t>KEITH</t>
  </si>
  <si>
    <t>CAMPBELL</t>
  </si>
  <si>
    <t>284b9ad4-43a7-4bc4-80f4-eed55e231392</t>
  </si>
  <si>
    <t>b06c3f82-32fd-4a9d-8c54-c7cfa213c376</t>
  </si>
  <si>
    <t>7a0ecf1f-5b18-42e6-a740-2a868b7052d0</t>
  </si>
  <si>
    <t>d1b3a90c-a07c-4a21-9f92-a312a5a2f56b</t>
  </si>
  <si>
    <t>BRIAN</t>
  </si>
  <si>
    <t>SMITH</t>
  </si>
  <si>
    <t>91a338b2-da4e-4086-ae08-c5bc0d720bb8</t>
  </si>
  <si>
    <t>f3d50d20-6656-4a9b-bd58-d99601e7189a</t>
  </si>
  <si>
    <t>Lawrence</t>
  </si>
  <si>
    <t>Moore</t>
  </si>
  <si>
    <t>b35f1770-90e0-40dd-b13a-6d24540e43db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</si>
  <si>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</si>
  <si>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</si>
  <si>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</si>
  <si>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</si>
  <si>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</si>
  <si>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</si>
  <si>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</si>
  <si>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</si>
  <si>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</si>
  <si>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</si>
  <si>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</si>
  <si>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</si>
  <si>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</si>
  <si>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</si>
  <si>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</si>
  <si>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</si>
  <si>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</si>
  <si>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David</t>
  </si>
  <si>
    <t>Rodgers</t>
  </si>
  <si>
    <t>febac3d6-acba-44ce-afd0-0ab4ec60b217</t>
  </si>
  <si>
    <t>eae086cc-8911-4063-9a13-f490618c484d</t>
  </si>
  <si>
    <t>WALTER</t>
  </si>
  <si>
    <t>BURTON</t>
  </si>
  <si>
    <t>35e88020-5a1f-4c0b-a669-3e15886fa4c3</t>
  </si>
  <si>
    <t>info@deanlogisticssolutions.com</t>
  </si>
  <si>
    <t>Required Hours</t>
  </si>
  <si>
    <t>Payable Hours</t>
  </si>
  <si>
    <t>Allowed Hours</t>
  </si>
  <si>
    <t>Unapproved Extra hours</t>
  </si>
  <si>
    <t>Percentage</t>
  </si>
  <si>
    <t>LAKEDA WILLIAMS</t>
  </si>
  <si>
    <t>LAKEDA</t>
  </si>
  <si>
    <t>WILLIAMS</t>
  </si>
  <si>
    <t>bed35628-607e-406f-84d6-096b6904f114</t>
  </si>
  <si>
    <t>4472</t>
  </si>
  <si>
    <t>4481</t>
  </si>
  <si>
    <t>4480</t>
  </si>
  <si>
    <t>4470</t>
  </si>
  <si>
    <t>4473</t>
  </si>
  <si>
    <t>4482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</si>
</sst>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2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8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8" fontId="9" fillId="0" borderId="3" xfId="0" applyNumberFormat="1" applyFont="1" applyBorder="1" applyAlignment="1">
      <alignment horizontal="right" vertical="center"/>
    </xf>
    <xf numFmtId="164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4" fontId="6" fillId="4" borderId="9" xfId="0" applyNumberFormat="1" applyFont="1" applyFill="1" applyBorder="1" applyAlignment="1">
      <alignment horizontal="center" vertical="center" wrapText="1" readingOrder="1"/>
    </xf>
    <xf numFmtId="164" fontId="11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4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4" fontId="15" fillId="0" borderId="0" xfId="7" applyNumberFormat="1" applyAlignment="1">
      <alignment horizontal="center"/>
    </xf>
    <xf numFmtId="164" fontId="15" fillId="0" borderId="0" xfId="7" quotePrefix="1" applyNumberFormat="1" applyAlignment="1">
      <alignment horizontal="center"/>
    </xf>
    <xf numFmtId="164" fontId="15" fillId="0" borderId="0" xfId="6" applyNumberFormat="1" applyFont="1" applyAlignment="1" applyProtection="1">
      <alignment horizontal="center"/>
    </xf>
    <xf numFmtId="164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4" fontId="8" fillId="2" borderId="0" xfId="7" applyNumberFormat="1" applyFont="1" applyFill="1" applyAlignment="1">
      <alignment horizontal="center"/>
    </xf>
    <xf numFmtId="164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4" fontId="8" fillId="0" borderId="13" xfId="0" applyNumberFormat="1" applyFont="1" applyBorder="1" applyAlignment="1">
      <alignment horizontal="left" vertical="center"/>
    </xf>
    <xf numFmtId="164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vertical="center"/>
    </xf>
    <xf numFmtId="164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4" fontId="0" fillId="0" borderId="0" xfId="10" applyNumberFormat="1" applyFont="1" applyAlignment="1">
      <alignment horizontal="center" vertical="center"/>
    </xf>
    <xf numFmtId="164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4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4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7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5" fontId="0" fillId="0" borderId="0" xfId="11" applyNumberFormat="1" applyFont="1"/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26" xfId="0" applyBorder="1"/>
    <xf numFmtId="0" fontId="0" fillId="0" borderId="22" xfId="0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29" xfId="0" applyBorder="1" applyAlignment="1">
      <alignment horizontal="center"/>
    </xf>
    <xf numFmtId="165" fontId="0" fillId="0" borderId="0" xfId="11" applyNumberFormat="1" applyFont="1" applyFill="1" applyAlignment="1">
      <alignment horizontal="center"/>
    </xf>
    <xf numFmtId="165" fontId="0" fillId="0" borderId="0" xfId="11" applyNumberFormat="1" applyFont="1" applyFill="1"/>
    <xf numFmtId="1" fontId="0" fillId="0" borderId="27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0" fontId="0" fillId="0" borderId="24" xfId="0" applyBorder="1" applyAlignment="1">
      <alignment wrapText="1"/>
    </xf>
    <xf numFmtId="9" fontId="0" fillId="0" borderId="24" xfId="10" applyFont="1" applyBorder="1" applyAlignment="1">
      <alignment horizontal="center"/>
    </xf>
    <xf numFmtId="9" fontId="0" fillId="0" borderId="22" xfId="10" applyFont="1" applyBorder="1" applyAlignment="1">
      <alignment horizontal="center"/>
    </xf>
    <xf numFmtId="9" fontId="0" fillId="0" borderId="29" xfId="10" applyFont="1" applyBorder="1" applyAlignment="1">
      <alignment horizontal="center"/>
    </xf>
    <xf numFmtId="0" fontId="0" fillId="11" borderId="26" xfId="0" applyFill="1" applyBorder="1"/>
    <xf numFmtId="0" fontId="0" fillId="11" borderId="22" xfId="0" applyFill="1" applyBorder="1"/>
    <xf numFmtId="0" fontId="0" fillId="11" borderId="22" xfId="0" applyFill="1" applyBorder="1" applyAlignment="1">
      <alignment horizontal="center"/>
    </xf>
    <xf numFmtId="1" fontId="0" fillId="11" borderId="27" xfId="0" applyNumberFormat="1" applyFill="1" applyBorder="1" applyAlignment="1">
      <alignment horizontal="center"/>
    </xf>
    <xf numFmtId="9" fontId="0" fillId="11" borderId="22" xfId="10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9" fontId="0" fillId="0" borderId="22" xfId="10" applyFont="1" applyFill="1" applyBorder="1" applyAlignment="1">
      <alignment horizontal="center"/>
    </xf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47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07.487785300924" createdVersion="8" refreshedVersion="8" minRefreshableVersion="3" recordCount="10" xr:uid="{492C9D3A-18D3-4A6B-BF79-3EBAF47C3470}">
  <cacheSource type="worksheet">
    <worksheetSource name="SumVDPMVReport"/>
  </cacheSource>
  <cacheFields count="62">
    <cacheField name="WeekN" numFmtId="0">
      <sharedItems containsBlank="1" count="3">
        <s v="Week1"/>
        <s v="Week2"/>
        <m u="1"/>
      </sharedItems>
    </cacheField>
    <cacheField name="Allowable Hours" numFmtId="0">
      <sharedItems containsSemiMixedTypes="0" containsString="0" containsNumber="1" containsInteger="1" minValue="50" maxValue="230"/>
    </cacheField>
    <cacheField name="Online Hours" numFmtId="0">
      <sharedItems containsSemiMixedTypes="0" containsString="0" containsNumber="1" minValue="12.93" maxValue="223.76000000000002" count="61">
        <n v="175.73"/>
        <n v="50.01"/>
        <n v="204.96999999999997"/>
        <n v="19.919999999999998"/>
        <n v="108.14000000000001"/>
        <n v="18.04"/>
        <n v="50.18"/>
        <n v="214.11"/>
        <n v="50.31"/>
        <n v="181.83"/>
        <n v="148.60000000000002" u="1"/>
        <n v="50.15" u="1"/>
        <n v="220.63999999999996" u="1"/>
        <n v="201.35000000000002" u="1"/>
        <n v="40.46" u="1"/>
        <n v="101.46000000000001" u="1"/>
        <n v="220.75" u="1"/>
        <n v="203.66000000000003" u="1"/>
        <n v="12.93" u="1"/>
        <n v="106.31" u="1"/>
        <n v="50" u="1"/>
        <n v="208.62" u="1"/>
        <n v="223.76000000000002" u="1"/>
        <n v="25.8" u="1"/>
        <n v="104.2" u="1"/>
        <n v="50.45" u="1"/>
        <n v="221.45" u="1"/>
        <n v="206.96" u="1"/>
        <n v="50.050000000000004" u="1"/>
        <n v="99.48" u="1"/>
        <n v="23.63" u="1"/>
        <n v="209.74" u="1"/>
        <n v="190.32" u="1"/>
        <n v="50.22" u="1"/>
        <n v="83.74" u="1"/>
        <n v="24.35" u="1"/>
        <n v="221.13" u="1"/>
        <n v="205.48" u="1"/>
        <n v="26.38" u="1"/>
        <n v="106.97" u="1"/>
        <n v="50.03" u="1"/>
        <n v="211.94000000000003" u="1"/>
        <n v="176.70999999999998" u="1"/>
        <n v="45.440000000000005" u="1"/>
        <n v="96.74" u="1"/>
        <n v="40.159999999999997" u="1"/>
        <n v="222.6" u="1"/>
        <n v="210.14000000000001" u="1"/>
        <n v="30.709999999999997" u="1"/>
        <n v="55.01" u="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12.93" maxValue="140" count="24">
        <n v="140"/>
        <n v="50.01"/>
        <n v="19.919999999999998"/>
        <n v="70"/>
        <n v="18.04"/>
        <n v="50.18"/>
        <n v="50"/>
        <n v="40.46" u="1"/>
        <n v="12.93" u="1"/>
        <n v="25.8" u="1"/>
        <n v="50.050000000000004" u="1"/>
        <n v="23.63" u="1"/>
        <n v="50.22" u="1"/>
        <n v="24.35" u="1"/>
        <n v="26.38" u="1"/>
        <n v="45.440000000000005" u="1"/>
        <n v="40.159999999999997" u="1"/>
        <n v="30.709999999999997" u="1"/>
        <n v="55.01" u="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111.83000000000001" count="37">
        <n v="35.72999999999999"/>
        <n v="0"/>
        <n v="64.96999999999997"/>
        <n v="35"/>
        <n v="74.110000000000014"/>
        <n v="111.83000000000001"/>
        <n v="31" u="1"/>
        <n v="70" u="1"/>
        <n v="36" u="1"/>
        <n v="80" u="1"/>
        <n v="61.350000000000023" u="1"/>
        <n v="63.660000000000025" u="1"/>
        <n v="30" u="1"/>
        <n v="68.62" u="1"/>
        <n v="34.200000000000003" u="1"/>
        <n v="66.960000000000008" u="1"/>
        <n v="29.480000000000004" u="1"/>
        <n v="40" u="1"/>
        <n v="15" u="1"/>
        <n v="65" u="1"/>
        <n v="69.740000000000009" u="1"/>
        <n v="50.319999999999993" u="1"/>
        <n v="13.739999999999995" u="1"/>
        <n v="65.47999999999999" u="1"/>
        <n v="36.97" u="1"/>
        <n v="71.940000000000026" u="1"/>
        <n v="36.70999999999998" u="1"/>
        <n v="26.739999999999995" u="1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8.2000000000000003E-2" maxValue="1"/>
    </cacheField>
    <cacheField name="Core Hours Rev" numFmtId="0">
      <sharedItems containsSemiMixedTypes="0" containsString="0" containsNumber="1" minValue="0" maxValue="2861.95"/>
    </cacheField>
    <cacheField name="Bonus Hours Rev" numFmtId="0">
      <sharedItems containsSemiMixedTypes="0" containsString="0" containsNumber="1" minValue="0" maxValue="3016.6142"/>
    </cacheField>
    <cacheField name="CHI Tier 1 Rev" numFmtId="0">
      <sharedItems containsSemiMixedTypes="0" containsString="0" containsNumber="1" minValue="0" maxValue="1494.2308"/>
    </cacheField>
    <cacheField name="CHI Tier 2 Rev" numFmtId="0">
      <sharedItems containsSemiMixedTypes="0" containsString="0" containsNumber="1" minValue="0" maxValue="709.27579999999989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74879227053140096" maxValue="1"/>
    </cacheField>
    <cacheField name="Cancellation Rate" numFmtId="0">
      <sharedItems containsSemiMixedTypes="0" containsString="0" containsNumber="1" minValue="8.5470085470085496E-3" maxValue="7.4074074074074098E-2"/>
    </cacheField>
    <cacheField name="Tier 1 ARDCRI KPI Rev" numFmtId="0">
      <sharedItems containsSemiMixedTypes="0" containsString="0" containsNumber="1" minValue="0" maxValue="747.11540000000002"/>
    </cacheField>
    <cacheField name="Tier 2 ARDCRI KPI Rev" numFmtId="0">
      <sharedItems containsSemiMixedTypes="0" containsString="0" containsNumber="1" minValue="0" maxValue="78.625"/>
    </cacheField>
    <cacheField name="Utilization%" numFmtId="0">
      <sharedItems containsSemiMixedTypes="0" containsString="0" containsNumber="1" minValue="0.79366072952825395" maxValue="0.95587358378055998"/>
    </cacheField>
    <cacheField name="Utilization Rev" numFmtId="0">
      <sharedItems containsSemiMixedTypes="0" containsString="0" containsNumber="1" minValue="0" maxValue="373.55770000000001"/>
    </cacheField>
    <cacheField name="Driver Tips" numFmtId="0">
      <sharedItems containsSemiMixedTypes="0" containsString="0" containsNumber="1" minValue="17" maxValue="203.26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minValue="0" maxValue="2694.619999999999"/>
    </cacheField>
    <cacheField name="Total Rev" numFmtId="0">
      <sharedItems containsSemiMixedTypes="0" containsString="0" containsNumber="1" minValue="384.84" maxValue="7674.4139999999998"/>
    </cacheField>
    <cacheField name="Payable Online Hours" numFmtId="0">
      <sharedItems containsSemiMixedTypes="0" containsString="0" containsNumber="1" minValue="18.04" maxValue="214.11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494.2308"/>
    </cacheField>
    <cacheField name="Total Expired Offers" numFmtId="0">
      <sharedItems containsSemiMixedTypes="0" containsString="0" containsNumber="1" containsInteger="1" minValue="0" maxValue="18"/>
    </cacheField>
    <cacheField name="Tier 1 ARDCRI KPI" numFmtId="0">
      <sharedItems containsSemiMixedTypes="0" containsString="0" containsNumber="1" minValue="0" maxValue="214.11"/>
    </cacheField>
    <cacheField name="Tier 2 ARDCRI KPI" numFmtId="0">
      <sharedItems containsSemiMixedTypes="0" containsString="0" containsNumber="1" containsInteger="1" minValue="0" maxValue="50"/>
    </cacheField>
    <cacheField name="Total ARDCRI KPI Rev" numFmtId="0">
      <sharedItems containsSemiMixedTypes="0" containsString="0" containsNumber="1" minValue="0" maxValue="747.11540000000002"/>
    </cacheField>
    <cacheField name="Approved Extra Hours" numFmtId="0">
      <sharedItems containsSemiMixedTypes="0" containsString="0" containsNumber="1" containsInteger="1" minValue="0" maxValue="20"/>
    </cacheField>
    <cacheField name="Week" numFmtId="14">
      <sharedItems containsSemiMixedTypes="0" containsNonDate="0" containsDate="1" containsString="0" minDate="2025-01-27T00:00:00" maxDate="2025-02-04T00:00:00"/>
    </cacheField>
    <cacheField name="PARTNER NAME" numFmtId="0">
      <sharedItems containsBlank="1" count="6">
        <s v="DIRECT TRANSIT LLC"/>
        <s v="BEYOND EXPRESS"/>
        <s v="CIRCLE TRANSIT"/>
        <s v="DEAN LOGISTICS SOLUTIONS LLC"/>
        <s v="Q-TELL TRANSIT LLC"/>
        <m u="1"/>
      </sharedItems>
    </cacheField>
    <cacheField name="Total Comp Trips" numFmtId="0">
      <sharedItems containsSemiMixedTypes="0" containsString="0" containsNumber="1" containsInteger="1" minValue="21" maxValue="343"/>
    </cacheField>
    <cacheField name="Total Supply Hours" numFmtId="0">
      <sharedItems containsSemiMixedTypes="0" containsString="0" containsNumber="1" minValue="18.04" maxValue="221.81"/>
    </cacheField>
    <cacheField name="Paused Hours" numFmtId="0">
      <sharedItems containsSemiMixedTypes="0" containsString="0" containsNumber="1" minValue="0" maxValue="7.6999999999999993"/>
    </cacheField>
    <cacheField name="WAV Trips" numFmtId="0">
      <sharedItems containsSemiMixedTypes="0" containsString="0" containsNumber="1" containsInteger="1" minValue="8" maxValue="95"/>
    </cacheField>
    <cacheField name="Non WAV Trips" numFmtId="0">
      <sharedItems containsSemiMixedTypes="0" containsString="0" containsNumber="1" containsInteger="1" minValue="10" maxValue="259"/>
    </cacheField>
    <cacheField name="Utilized Hours" numFmtId="0">
      <sharedItems containsSemiMixedTypes="0" containsString="0" containsNumber="1" minValue="16.86" maxValue="188.56000000000003"/>
    </cacheField>
    <cacheField name="Open Hours" numFmtId="0">
      <sharedItems containsSemiMixedTypes="0" containsString="0" containsNumber="1" minValue="1.19" maxValue="36.25"/>
    </cacheField>
    <cacheField name="Core Total Supply Hours" numFmtId="0">
      <sharedItems containsSemiMixedTypes="0" containsString="0" containsNumber="1" minValue="11.32" maxValue="95.97999999999999"/>
    </cacheField>
    <cacheField name="Core Utilized Hours" numFmtId="0">
      <sharedItems containsSemiMixedTypes="0" containsString="0" containsNumber="1" minValue="10.94" maxValue="91.43"/>
    </cacheField>
    <cacheField name="Trips Per Hours" numFmtId="0">
      <sharedItems containsSemiMixedTypes="0" containsString="0" containsNumber="1" minValue="1.58" maxValue="11.39"/>
    </cacheField>
    <cacheField name="Total Accepts" numFmtId="0">
      <sharedItems containsSemiMixedTypes="0" containsString="0" containsNumber="1" containsInteger="1" minValue="27" maxValue="411"/>
    </cacheField>
    <cacheField name="Total Rejects" numFmtId="0">
      <sharedItems containsSemiMixedTypes="0" containsString="0" containsNumber="1" containsInteger="1" minValue="0" maxValue="87"/>
    </cacheField>
    <cacheField name="Total Cancels" numFmtId="0">
      <sharedItems containsSemiMixedTypes="0" containsString="0" containsNumber="1" containsInteger="1" minValue="1" maxValue="12"/>
    </cacheField>
    <cacheField name="KPI Hours" numFmtId="0">
      <sharedItems containsSemiMixedTypes="0" containsString="0" containsNumber="1" minValue="0" maxValue="189.10000000000002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5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ARDCRI Non KPI" numFmtId="0">
      <sharedItems containsSemiMixedTypes="0" containsString="0" containsNumber="1" minValue="0" maxValue="181.83"/>
    </cacheField>
    <cacheField name="Driver Earnings Excl Tips" numFmtId="0">
      <sharedItems containsSemiMixedTypes="0" containsString="0" containsNumber="1" minValue="360.789999999999" maxValue="4038.7099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220"/>
    <x v="0"/>
    <x v="0"/>
    <x v="0"/>
    <n v="0.79877272727272697"/>
    <n v="0"/>
    <n v="0"/>
    <n v="0"/>
    <n v="0"/>
    <n v="0"/>
    <n v="0.99656357388316197"/>
    <n v="3.4482758620689703E-2"/>
    <n v="0"/>
    <n v="0"/>
    <n v="0.79366072952825395"/>
    <n v="0"/>
    <n v="144.88"/>
    <n v="0"/>
    <n v="2694.619999999999"/>
    <n v="2839.5"/>
    <n v="175.73"/>
    <n v="220"/>
    <n v="0"/>
    <n v="0"/>
    <n v="175.73"/>
    <n v="0"/>
    <n v="0"/>
    <n v="0"/>
    <d v="2025-01-27T00:00:00"/>
    <x v="0"/>
    <n v="252"/>
    <n v="175.79"/>
    <n v="0.06"/>
    <n v="95"/>
    <n v="157"/>
    <n v="139.47"/>
    <n v="36.25"/>
    <n v="65.05"/>
    <n v="60.090000000000011"/>
    <n v="8.23"/>
    <n v="290"/>
    <n v="1"/>
    <n v="10"/>
    <n v="114.75999999999999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2694.619999999999"/>
  </r>
  <r>
    <x v="0"/>
    <n v="51"/>
    <x v="1"/>
    <x v="1"/>
    <x v="1"/>
    <n v="1"/>
    <n v="1022.3294"/>
    <n v="0"/>
    <n v="314.56290000000001"/>
    <n v="0"/>
    <n v="0"/>
    <n v="1"/>
    <n v="8.8495575221238902E-3"/>
    <n v="157.28139999999999"/>
    <n v="0"/>
    <n v="0.95320935812837404"/>
    <n v="78.640699999999995"/>
    <n v="68"/>
    <n v="0"/>
    <n v="0"/>
    <n v="1640.8144"/>
    <n v="50.01"/>
    <n v="50"/>
    <n v="314.56290000000001"/>
    <n v="0"/>
    <n v="50.01"/>
    <n v="0"/>
    <n v="157.28139999999999"/>
    <n v="1"/>
    <d v="2025-01-27T00:00:00"/>
    <x v="1"/>
    <n v="100"/>
    <n v="50.01"/>
    <n v="0"/>
    <n v="14"/>
    <n v="86"/>
    <n v="47.67"/>
    <n v="2.33"/>
    <n v="11.32"/>
    <n v="10.94"/>
    <n v="2"/>
    <n v="113"/>
    <n v="0"/>
    <n v="1"/>
    <n v="50.01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966.23"/>
  </r>
  <r>
    <x v="0"/>
    <n v="210"/>
    <x v="2"/>
    <x v="0"/>
    <x v="2"/>
    <n v="0.97604761904761905"/>
    <n v="2861.95"/>
    <n v="1748.3426999999999"/>
    <n v="0"/>
    <n v="709.27579999999989"/>
    <n v="0"/>
    <n v="0.99515738498789397"/>
    <n v="2.9197080291970798E-2"/>
    <n v="709.2758"/>
    <n v="0"/>
    <n v="0.89032541347514305"/>
    <n v="354.6379"/>
    <n v="159.62"/>
    <n v="0"/>
    <n v="0"/>
    <n v="6543.1022000000003"/>
    <n v="204.96999999999997"/>
    <n v="210"/>
    <n v="709.2758"/>
    <n v="1"/>
    <n v="204.96999999999997"/>
    <n v="0"/>
    <n v="709.2758"/>
    <n v="0"/>
    <d v="2025-01-27T00:00:00"/>
    <x v="2"/>
    <n v="343"/>
    <n v="210.87"/>
    <n v="5.8999999999999995"/>
    <n v="84"/>
    <n v="259"/>
    <n v="182.49"/>
    <n v="22.47"/>
    <n v="86.47"/>
    <n v="80.09"/>
    <n v="11.39"/>
    <n v="411"/>
    <n v="1"/>
    <n v="12"/>
    <n v="127.75999999999999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3808.4799999999996"/>
  </r>
  <r>
    <x v="0"/>
    <n v="50"/>
    <x v="3"/>
    <x v="2"/>
    <x v="1"/>
    <n v="0.39839999999999998"/>
    <n v="0"/>
    <n v="0"/>
    <n v="0"/>
    <n v="0"/>
    <n v="0"/>
    <n v="0.91428571428571404"/>
    <n v="3.125E-2"/>
    <n v="0"/>
    <n v="0"/>
    <n v="0.88152610441767099"/>
    <n v="0"/>
    <n v="17"/>
    <n v="0"/>
    <n v="367.84"/>
    <n v="384.84"/>
    <n v="19.919999999999998"/>
    <n v="50"/>
    <n v="0"/>
    <n v="0"/>
    <n v="0"/>
    <n v="0"/>
    <n v="0"/>
    <n v="0"/>
    <d v="2025-01-27T00:00:00"/>
    <x v="3"/>
    <n v="33"/>
    <n v="20.86"/>
    <n v="0.94"/>
    <n v="8"/>
    <n v="25"/>
    <n v="17.559999999999999"/>
    <n v="2.35"/>
    <n v="11.67"/>
    <n v="11.41"/>
    <n v="1.58"/>
    <n v="32"/>
    <n v="3"/>
    <n v="1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19.919999999999998"/>
    <n v="367.84"/>
  </r>
  <r>
    <x v="0"/>
    <n v="105"/>
    <x v="4"/>
    <x v="3"/>
    <x v="3"/>
    <n v="1"/>
    <n v="1433.25"/>
    <n v="944.125"/>
    <n v="731.5"/>
    <n v="0"/>
    <n v="0"/>
    <n v="0.875"/>
    <n v="3.5714285714285698E-2"/>
    <n v="0"/>
    <n v="0"/>
    <n v="0.80895135934899198"/>
    <n v="182.875"/>
    <n v="141"/>
    <n v="0"/>
    <n v="0"/>
    <n v="3432.75"/>
    <n v="105"/>
    <n v="100"/>
    <n v="731.5"/>
    <n v="18"/>
    <n v="0"/>
    <n v="0"/>
    <n v="0"/>
    <n v="5"/>
    <d v="2025-01-27T00:00:00"/>
    <x v="4"/>
    <n v="163"/>
    <n v="110.18"/>
    <n v="2.04"/>
    <n v="48"/>
    <n v="115"/>
    <n v="87.48"/>
    <n v="20.650000000000002"/>
    <n v="46.22"/>
    <n v="41.47"/>
    <n v="4.25"/>
    <n v="196"/>
    <n v="10"/>
    <n v="7"/>
    <n v="0"/>
    <m/>
    <n v="0.1"/>
    <n v="0.05"/>
    <n v="0.7"/>
    <n v="31.5"/>
    <n v="41.5"/>
    <n v="0.65"/>
    <n v="0.98"/>
    <n v="0.96"/>
    <n v="0.94"/>
    <n v="0.2"/>
    <n v="0.1"/>
    <n v="0.05"/>
    <n v="0.05"/>
    <n v="70"/>
    <n v="105"/>
    <n v="1801.94"/>
  </r>
  <r>
    <x v="1"/>
    <n v="220"/>
    <x v="5"/>
    <x v="4"/>
    <x v="1"/>
    <n v="8.2000000000000003E-2"/>
    <n v="0"/>
    <n v="0"/>
    <n v="0"/>
    <n v="0"/>
    <n v="0"/>
    <n v="0.96428571428571397"/>
    <n v="7.4074074074074098E-2"/>
    <n v="0"/>
    <n v="0"/>
    <n v="0.93458980044345896"/>
    <n v="0"/>
    <n v="28"/>
    <n v="0"/>
    <n v="360.789999999999"/>
    <n v="388.79"/>
    <n v="18.04"/>
    <n v="220"/>
    <n v="0"/>
    <n v="0"/>
    <n v="0"/>
    <n v="0"/>
    <n v="0"/>
    <n v="0"/>
    <d v="2025-02-03T00:00:00"/>
    <x v="0"/>
    <n v="21"/>
    <n v="18.04"/>
    <n v="0"/>
    <n v="11"/>
    <n v="10"/>
    <n v="16.86"/>
    <n v="1.19"/>
    <n v="14.200000000000001"/>
    <n v="13.41"/>
    <n v="3.38"/>
    <n v="27"/>
    <n v="1"/>
    <n v="2"/>
    <n v="2.0099999999999998"/>
    <m/>
    <n v="0.1"/>
    <n v="0.05"/>
    <n v="0.7"/>
    <n v="31.5"/>
    <n v="41"/>
    <n v="0.65"/>
    <n v="0.98"/>
    <n v="0.96"/>
    <n v="0.94"/>
    <n v="0.2"/>
    <n v="0.1"/>
    <n v="0.05"/>
    <n v="0.05"/>
    <n v="140"/>
    <n v="18.04"/>
    <n v="360.789999999999"/>
  </r>
  <r>
    <x v="1"/>
    <n v="51"/>
    <x v="6"/>
    <x v="5"/>
    <x v="1"/>
    <n v="1"/>
    <n v="1025.8045999999999"/>
    <n v="0"/>
    <n v="315.63220000000001"/>
    <n v="0"/>
    <n v="0"/>
    <n v="1"/>
    <n v="8.5470085470085496E-3"/>
    <n v="157.81610000000001"/>
    <n v="0"/>
    <n v="0.94340374651255499"/>
    <n v="78.908000000000001"/>
    <n v="45.99"/>
    <n v="0"/>
    <n v="0"/>
    <n v="1624.1510000000001"/>
    <n v="50.18"/>
    <n v="50"/>
    <n v="315.63220000000001"/>
    <n v="0"/>
    <n v="50.18"/>
    <n v="0"/>
    <n v="157.81610000000001"/>
    <n v="1"/>
    <d v="2025-02-03T00:00:00"/>
    <x v="1"/>
    <n v="97"/>
    <n v="50.18"/>
    <n v="0"/>
    <n v="16"/>
    <n v="81"/>
    <n v="47.34"/>
    <n v="2.84"/>
    <n v="14.88"/>
    <n v="14.75"/>
    <n v="1.93"/>
    <n v="117"/>
    <n v="0"/>
    <n v="1"/>
    <n v="50.18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928.48999999999899"/>
  </r>
  <r>
    <x v="1"/>
    <n v="230"/>
    <x v="7"/>
    <x v="0"/>
    <x v="4"/>
    <n v="1"/>
    <n v="2861.95"/>
    <n v="1994.3000999999999"/>
    <n v="1494.2308"/>
    <n v="0"/>
    <n v="0"/>
    <n v="0.99716713881019803"/>
    <n v="3.4090909090909102E-2"/>
    <n v="747.11540000000002"/>
    <n v="0"/>
    <n v="0.88066881509504502"/>
    <n v="373.55770000000001"/>
    <n v="203.26"/>
    <n v="0"/>
    <n v="0"/>
    <n v="7674.4139999999998"/>
    <n v="214.11"/>
    <n v="210"/>
    <n v="1494.2308"/>
    <n v="0"/>
    <n v="214.11"/>
    <n v="0"/>
    <n v="747.11540000000002"/>
    <n v="20"/>
    <d v="2025-02-03T00:00:00"/>
    <x v="2"/>
    <n v="297"/>
    <n v="221.81"/>
    <n v="7.6999999999999993"/>
    <n v="87"/>
    <n v="210"/>
    <n v="188.56000000000003"/>
    <n v="25.560000000000002"/>
    <n v="95.97999999999999"/>
    <n v="91.43"/>
    <n v="8.4500000000000011"/>
    <n v="352"/>
    <n v="1"/>
    <n v="12"/>
    <n v="189.10000000000002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4038.7099999999991"/>
  </r>
  <r>
    <x v="1"/>
    <n v="50"/>
    <x v="8"/>
    <x v="6"/>
    <x v="1"/>
    <n v="1"/>
    <n v="1022.125"/>
    <n v="0"/>
    <n v="314.5"/>
    <n v="0"/>
    <n v="0"/>
    <n v="0.92708333333333404"/>
    <n v="2.2471910112359599E-2"/>
    <n v="0"/>
    <n v="78.625"/>
    <n v="0.95587358378055998"/>
    <n v="78.625"/>
    <n v="58.88"/>
    <n v="0"/>
    <n v="0"/>
    <n v="1552.7550000000001"/>
    <n v="50"/>
    <n v="50"/>
    <n v="314.5"/>
    <n v="0"/>
    <n v="0"/>
    <n v="50"/>
    <n v="78.625"/>
    <n v="0"/>
    <d v="2025-02-03T00:00:00"/>
    <x v="3"/>
    <n v="84"/>
    <n v="50.32"/>
    <n v="0.01"/>
    <n v="22"/>
    <n v="62"/>
    <n v="48.09"/>
    <n v="2.21"/>
    <n v="21.28"/>
    <n v="20.53"/>
    <n v="1.67"/>
    <n v="89"/>
    <n v="7"/>
    <n v="2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059.1699999999901"/>
  </r>
  <r>
    <x v="1"/>
    <n v="191"/>
    <x v="9"/>
    <x v="3"/>
    <x v="5"/>
    <n v="0.98286486486486502"/>
    <n v="1433.25"/>
    <n v="3016.6142"/>
    <n v="1369.1890000000003"/>
    <n v="0"/>
    <n v="0"/>
    <n v="0.74879227053140096"/>
    <n v="3.8709677419354799E-2"/>
    <n v="0"/>
    <n v="0"/>
    <n v="0.82071165374250699"/>
    <n v="342.29719999999998"/>
    <n v="173.01"/>
    <n v="0"/>
    <n v="0"/>
    <n v="6334.3604999999998"/>
    <n v="181.83"/>
    <n v="185"/>
    <n v="1369.1890000000001"/>
    <n v="17"/>
    <n v="0"/>
    <n v="0"/>
    <n v="0"/>
    <n v="6"/>
    <d v="2025-02-03T00:00:00"/>
    <x v="4"/>
    <n v="279"/>
    <n v="182.29999999999998"/>
    <n v="0.47000000000000003"/>
    <n v="80"/>
    <n v="199"/>
    <n v="149.23000000000002"/>
    <n v="32.6"/>
    <n v="76.960000000000008"/>
    <n v="67.930000000000007"/>
    <n v="6.3900000000000006"/>
    <n v="310"/>
    <n v="87"/>
    <n v="12"/>
    <n v="35.450000000000003"/>
    <m/>
    <n v="0.1"/>
    <n v="0.05"/>
    <n v="0.7"/>
    <n v="31.5"/>
    <n v="41.5"/>
    <n v="0.65"/>
    <n v="0.98"/>
    <n v="0.96"/>
    <n v="0.94"/>
    <n v="0.2"/>
    <n v="0.1"/>
    <n v="0.05"/>
    <n v="0.05"/>
    <n v="70"/>
    <n v="181.83"/>
    <n v="3087.21999999999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12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2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59"/>
        <item m="1" x="54"/>
        <item m="1" x="56"/>
        <item m="1" x="51"/>
        <item m="1" x="55"/>
        <item m="1" x="60"/>
        <item m="1" x="57"/>
        <item m="1" x="52"/>
        <item m="1" x="58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4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11"/>
        <item m="1" x="12"/>
        <item m="1" x="13"/>
        <item m="1" x="14"/>
        <item m="1" x="15"/>
        <item x="1"/>
        <item m="1" x="16"/>
        <item m="1" x="17"/>
        <item m="1" x="18"/>
        <item m="1" x="19"/>
        <item x="0"/>
        <item x="2"/>
        <item x="3"/>
        <item x="4"/>
        <item x="5"/>
        <item x="6"/>
        <item x="7"/>
        <item x="8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m="1" x="23"/>
        <item m="1" x="22"/>
        <item x="6"/>
        <item m="1" x="21"/>
        <item x="3"/>
        <item x="0"/>
        <item m="1" x="19"/>
        <item m="1" x="15"/>
        <item m="1" x="16"/>
        <item m="1" x="17"/>
        <item m="1" x="20"/>
        <item m="1" x="18"/>
        <item m="1" x="11"/>
        <item m="1" x="12"/>
        <item m="1" x="13"/>
        <item m="1" x="14"/>
        <item m="1" x="9"/>
        <item m="1" x="10"/>
        <item m="1" x="7"/>
        <item m="1" x="8"/>
        <item x="2"/>
        <item x="4"/>
        <item x="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7">
        <item x="1"/>
        <item m="1" x="33"/>
        <item m="1" x="36"/>
        <item m="1" x="34"/>
        <item m="1" x="30"/>
        <item m="1" x="35"/>
        <item m="1" x="32"/>
        <item m="1" x="31"/>
        <item m="1" x="25"/>
        <item m="1" x="26"/>
        <item m="1" x="29"/>
        <item m="1" x="9"/>
        <item m="1" x="28"/>
        <item m="1" x="7"/>
        <item m="1" x="27"/>
        <item m="1" x="20"/>
        <item m="1" x="17"/>
        <item m="1" x="22"/>
        <item m="1" x="23"/>
        <item m="1" x="12"/>
        <item m="1" x="21"/>
        <item m="1" x="24"/>
        <item m="1" x="18"/>
        <item m="1" x="19"/>
        <item m="1" x="16"/>
        <item m="1" x="13"/>
        <item m="1" x="14"/>
        <item m="1" x="15"/>
        <item m="1" x="10"/>
        <item m="1" x="11"/>
        <item m="1" x="6"/>
        <item m="1" x="8"/>
        <item x="0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1"/>
        <item x="2"/>
        <item x="3"/>
        <item x="0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46"/>
      <x v="22"/>
      <x/>
    </i>
    <i r="1">
      <x v="1"/>
      <x v="56"/>
      <x v="23"/>
      <x/>
    </i>
    <i>
      <x v="1"/>
      <x/>
      <x v="52"/>
      <x v="5"/>
      <x v="33"/>
    </i>
    <i r="1">
      <x v="1"/>
      <x v="57"/>
      <x v="5"/>
      <x v="35"/>
    </i>
    <i>
      <x v="2"/>
      <x/>
      <x v="53"/>
      <x v="20"/>
      <x/>
    </i>
    <i r="1">
      <x v="1"/>
      <x v="58"/>
      <x v="2"/>
      <x/>
    </i>
    <i>
      <x v="3"/>
      <x/>
      <x v="51"/>
      <x v="5"/>
      <x v="32"/>
    </i>
    <i r="1">
      <x v="1"/>
      <x v="55"/>
      <x v="21"/>
      <x/>
    </i>
    <i>
      <x v="4"/>
      <x/>
      <x v="54"/>
      <x v="4"/>
      <x v="34"/>
    </i>
    <i r="1">
      <x v="1"/>
      <x v="60"/>
      <x v="4"/>
      <x v="3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2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46" dataDxfId="45">
  <tableColumns count="9">
    <tableColumn id="1" xr3:uid="{6E8F3551-4DCE-46CE-BD28-51A8302E87CB}" name="Type" dataDxfId="44"/>
    <tableColumn id="2" xr3:uid="{5404B4C5-ECEF-4C1F-8A18-BC9D8BE1C71B}" name="Start" dataDxfId="43"/>
    <tableColumn id="3" xr3:uid="{ED569C2B-A42E-43C5-A2F6-A3987EE52677}" name="End" dataDxfId="42"/>
    <tableColumn id="8" xr3:uid="{7528310C-79CF-4C2C-A6A6-945EB7C53D6F}" name="Week#" dataDxfId="41"/>
    <tableColumn id="9" xr3:uid="{F2617BD1-87E6-401A-9CEE-DF2A049276C1}" name="Per Normal Hour" dataDxfId="40"/>
    <tableColumn id="10" xr3:uid="{6AF37710-9F7B-4387-9CC2-103D69851C62}" name="Per Bonus Hour" dataDxfId="39"/>
    <tableColumn id="6" xr3:uid="{AE3F7AE3-B9B7-4FBD-BECC-F855DB3120A1}" name="Utilization Target" dataDxfId="38"/>
    <tableColumn id="4" xr3:uid="{76EDF2B3-48C2-41BC-8C8B-1E1DA27282E5}" name="Tier 1 ARDCRI Rate" dataDxfId="37" dataCellStyle="Percent"/>
    <tableColumn id="5" xr3:uid="{623BF9A5-9791-48A7-A063-0FCE89090301}" name="Tier 2 ARDCRI Rate" dataDxfId="36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11" tableType="queryTable" totalsRowShown="0">
  <autoFilter ref="A1:Q11" xr:uid="{425E9FDE-B83D-4045-8FD5-DD203C9CE861}"/>
  <tableColumns count="17">
    <tableColumn id="1" xr3:uid="{E230C15D-1F50-42B6-BAD8-8BBB397BDDF0}" uniqueName="1" name="PARTNER" queryTableFieldId="1" dataDxfId="35"/>
    <tableColumn id="7" xr3:uid="{6391F556-8AFE-459C-94D5-77F89EDE79EE}" uniqueName="7" name="UNIT" queryTableFieldId="16" dataDxfId="34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33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35" tableType="queryTable" totalsRowShown="0">
  <autoFilter ref="A1:AK35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35">
    <sortCondition ref="M1:M35"/>
  </sortState>
  <tableColumns count="37">
    <tableColumn id="1" xr3:uid="{2DF377BE-88DC-4F51-A0C3-719C6FB3A4E6}" uniqueName="1" name="Week" queryTableFieldId="1" dataDxfId="5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CBAFFD-1DAF-4021-BA56-733C7872BAE6}" name="Table1" displayName="Table1" ref="J3:T13" totalsRowShown="0" headerRowDxfId="32" headerRowBorderDxfId="31" tableBorderDxfId="30" totalsRowBorderDxfId="29">
  <autoFilter ref="J3:T13" xr:uid="{FECBAFFD-1DAF-4021-BA56-733C7872BAE6}">
    <filterColumn colId="10">
      <filters>
        <filter val="40%"/>
        <filter val="8%"/>
        <filter val="80%"/>
      </filters>
    </filterColumn>
  </autoFilter>
  <tableColumns count="11">
    <tableColumn id="1" xr3:uid="{ED532F73-A4F9-4B64-9B25-B19E540FB804}" name="PARTNER NAME" dataDxfId="28"/>
    <tableColumn id="2" xr3:uid="{8452393E-E130-46CD-BB9B-F88E9D7DDA66}" name="WeekN" dataDxfId="27"/>
    <tableColumn id="3" xr3:uid="{1AB75664-5EB0-4BAE-B4FA-864B78A0362D}" name="Required Hours" dataDxfId="26"/>
    <tableColumn id="10" xr3:uid="{4C9C6474-D3C0-4616-9258-11D958196595}" name="Approved Extra Hours" dataDxfId="25"/>
    <tableColumn id="4" xr3:uid="{5ECF81CF-405D-4DE6-8FDC-6EAC0C42A567}" name="Allowed Hours" dataDxfId="24">
      <calculatedColumnFormula>+L4+M4</calculatedColumnFormula>
    </tableColumn>
    <tableColumn id="5" xr3:uid="{0EBB2235-A2A5-4290-B1A4-567556D55C2D}" name="Online Hours" dataDxfId="23"/>
    <tableColumn id="6" xr3:uid="{EE4F8652-E3BA-4FF6-B712-7DD1DECA4084}" name="Payable Normal Hours" dataDxfId="22"/>
    <tableColumn id="7" xr3:uid="{33C254F0-C3E6-49B1-AEFD-2C4A0093C1BD}" name="Payable Bonus Hours" dataDxfId="21"/>
    <tableColumn id="8" xr3:uid="{BF572C91-C017-4F09-AC26-41DE0FFD0B08}" name="Payable Hours" dataDxfId="20">
      <calculatedColumnFormula>+P4+Q4</calculatedColumnFormula>
    </tableColumn>
    <tableColumn id="9" xr3:uid="{B7EA109D-134C-46BB-8ABC-F613C4BFEAEF}" name="Unapproved Extra hours" dataDxfId="19">
      <calculatedColumnFormula>+O4-R4</calculatedColumnFormula>
    </tableColumn>
    <tableColumn id="11" xr3:uid="{4F8FEB9A-8035-42BE-AF97-47E9FA0E2021}" name="Percentage" dataDxfId="18" dataCellStyle="Percent">
      <calculatedColumnFormula>+O4/L4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J11" tableType="queryTable" totalsRowShown="0">
  <autoFilter ref="A1:BJ11" xr:uid="{DE01B30A-39AF-4694-BB2D-3D7EA17167B1}"/>
  <tableColumns count="62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4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60" tableType="queryTable" totalsRowShown="0">
  <autoFilter ref="A1:D60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17"/>
    <tableColumn id="2" xr3:uid="{199F8000-533A-4D13-9D9A-759582A3E92B}" uniqueName="2" name="OPERATOR NAME" queryTableFieldId="2" dataDxfId="16"/>
    <tableColumn id="5" xr3:uid="{9401B264-4438-4ADD-9C9E-230087F8EC3D}" uniqueName="5" name="VDPMVReportOperatorCheck.Operators Name" queryTableFieldId="5" dataDxfId="15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14"/>
    <tableColumn id="3" xr3:uid="{E3BEB53E-30C2-49C0-831F-FA69F47D6A67}" uniqueName="3" name="FILE #" queryTableFieldId="3"/>
    <tableColumn id="2" xr3:uid="{01145E20-AA32-4805-9ED6-07B654B57048}" uniqueName="2" name="EMAIL" queryTableFieldId="2" dataDxfId="13"/>
    <tableColumn id="11" xr3:uid="{E2C6E0DF-970A-4E8B-9039-19535AED8ADA}" uniqueName="11" name="CLIENT TYPE" queryTableFieldId="12" dataDxfId="12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60" tableType="queryTable" totalsRowShown="0">
  <autoFilter ref="A1:G60" xr:uid="{7BDF058E-3982-4999-AD80-8E91E4CE4D47}"/>
  <tableColumns count="7">
    <tableColumn id="1" xr3:uid="{73AB47F6-22C8-4731-8CA9-E6ECA292ADE1}" uniqueName="1" name="PARTNER NAME" queryTableFieldId="1" dataDxfId="11"/>
    <tableColumn id="2" xr3:uid="{77D45F60-B84F-4823-BCEB-AADF7DF4E8FF}" uniqueName="2" name="OPERATOR NAME" queryTableFieldId="2" dataDxfId="10"/>
    <tableColumn id="10" xr3:uid="{7139AE2B-99E2-48A3-9846-54856CBB34E3}" uniqueName="10" name="CLIENT TYPE" queryTableFieldId="10" dataDxfId="9"/>
    <tableColumn id="3" xr3:uid="{6F5AA685-9A3B-4069-ACE6-1B0E354F2E59}" uniqueName="3" name="VEHICLE TYPE" queryTableFieldId="3" dataDxfId="8"/>
    <tableColumn id="4" xr3:uid="{99C28A24-DD87-4862-91CB-D428594003AE}" uniqueName="4" name="EMAIL" queryTableFieldId="4" dataDxfId="7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2" tableType="queryTable" insertRow="1" totalsRowShown="0">
  <autoFilter ref="A1:G2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L12" sqref="L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45684</v>
      </c>
      <c r="D2" s="60">
        <f>+C2+6</f>
        <v>45690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45691</v>
      </c>
      <c r="D3" s="60">
        <f>+C3+6</f>
        <v>45697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11"/>
  <sheetViews>
    <sheetView workbookViewId="0">
      <selection activeCell="J27" sqref="J27"/>
    </sheetView>
  </sheetViews>
  <sheetFormatPr defaultRowHeight="15" x14ac:dyDescent="0.25"/>
  <cols>
    <col min="1" max="1" width="29.71093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x14ac:dyDescent="0.25">
      <c r="A2" t="s">
        <v>32</v>
      </c>
      <c r="B2" t="s">
        <v>347</v>
      </c>
      <c r="C2">
        <v>321.5</v>
      </c>
      <c r="D2">
        <v>2</v>
      </c>
      <c r="E2">
        <v>643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P2">
        <v>0</v>
      </c>
      <c r="Q2">
        <v>0</v>
      </c>
    </row>
    <row r="3" spans="1:17" x14ac:dyDescent="0.25">
      <c r="A3" t="s">
        <v>34</v>
      </c>
      <c r="B3" t="s">
        <v>35</v>
      </c>
      <c r="C3">
        <v>321.5</v>
      </c>
      <c r="D3">
        <v>0</v>
      </c>
      <c r="E3">
        <v>0</v>
      </c>
      <c r="G3">
        <v>45.5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33</v>
      </c>
      <c r="P3">
        <v>2</v>
      </c>
      <c r="Q3">
        <v>45.5</v>
      </c>
    </row>
    <row r="4" spans="1:17" x14ac:dyDescent="0.25">
      <c r="A4" t="s">
        <v>34</v>
      </c>
      <c r="B4" t="s">
        <v>348</v>
      </c>
      <c r="C4">
        <v>321.5</v>
      </c>
      <c r="D4">
        <v>2</v>
      </c>
      <c r="E4">
        <v>643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33</v>
      </c>
      <c r="P4">
        <v>2</v>
      </c>
      <c r="Q4">
        <v>0</v>
      </c>
    </row>
    <row r="5" spans="1:17" x14ac:dyDescent="0.25">
      <c r="A5" t="s">
        <v>34</v>
      </c>
      <c r="B5" t="s">
        <v>349</v>
      </c>
      <c r="C5">
        <v>321.5</v>
      </c>
      <c r="D5">
        <v>2</v>
      </c>
      <c r="E5">
        <v>643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33</v>
      </c>
      <c r="P5">
        <v>2</v>
      </c>
      <c r="Q5">
        <v>0</v>
      </c>
    </row>
    <row r="6" spans="1:17" x14ac:dyDescent="0.25">
      <c r="A6" t="s">
        <v>34</v>
      </c>
      <c r="B6" t="s">
        <v>350</v>
      </c>
      <c r="C6">
        <v>321.5</v>
      </c>
      <c r="D6">
        <v>0</v>
      </c>
      <c r="E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31</v>
      </c>
      <c r="P6">
        <v>2</v>
      </c>
      <c r="Q6">
        <v>0</v>
      </c>
    </row>
    <row r="7" spans="1:17" x14ac:dyDescent="0.25">
      <c r="A7" t="s">
        <v>36</v>
      </c>
      <c r="B7" t="s">
        <v>351</v>
      </c>
      <c r="C7">
        <v>321.5</v>
      </c>
      <c r="D7">
        <v>2</v>
      </c>
      <c r="E7">
        <v>643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33</v>
      </c>
      <c r="P7">
        <v>2</v>
      </c>
      <c r="Q7">
        <v>0</v>
      </c>
    </row>
    <row r="8" spans="1:17" x14ac:dyDescent="0.25">
      <c r="A8" t="s">
        <v>37</v>
      </c>
      <c r="B8" t="s">
        <v>38</v>
      </c>
      <c r="C8">
        <v>321.5</v>
      </c>
      <c r="D8">
        <v>1.2</v>
      </c>
      <c r="E8">
        <v>385.8</v>
      </c>
      <c r="G8">
        <v>663.5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1</v>
      </c>
      <c r="Q8">
        <v>663.5</v>
      </c>
    </row>
    <row r="9" spans="1:17" x14ac:dyDescent="0.25">
      <c r="A9" t="s">
        <v>37</v>
      </c>
      <c r="B9" t="s">
        <v>39</v>
      </c>
      <c r="C9">
        <v>321.5</v>
      </c>
      <c r="D9">
        <v>1.2</v>
      </c>
      <c r="E9">
        <v>385.8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33</v>
      </c>
      <c r="P9">
        <v>1</v>
      </c>
      <c r="Q9">
        <v>0</v>
      </c>
    </row>
    <row r="10" spans="1:17" x14ac:dyDescent="0.25">
      <c r="A10" t="s">
        <v>40</v>
      </c>
      <c r="B10" t="s">
        <v>352</v>
      </c>
      <c r="C10">
        <v>321.5</v>
      </c>
      <c r="D10">
        <v>2</v>
      </c>
      <c r="E10">
        <v>643</v>
      </c>
      <c r="G10">
        <v>69.400000000000006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P10">
        <v>2</v>
      </c>
      <c r="Q10">
        <v>69.400000000000006</v>
      </c>
    </row>
    <row r="11" spans="1:17" x14ac:dyDescent="0.25">
      <c r="A11" t="s">
        <v>40</v>
      </c>
      <c r="B11" t="s">
        <v>41</v>
      </c>
      <c r="C11">
        <v>321.5</v>
      </c>
      <c r="D11">
        <v>0</v>
      </c>
      <c r="E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31</v>
      </c>
      <c r="P11">
        <v>2</v>
      </c>
      <c r="Q11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tabSelected="1" zoomScale="80" zoomScaleNormal="80" workbookViewId="0">
      <pane ySplit="4" topLeftCell="A5" activePane="bottomLeft" state="frozen"/>
      <selection pane="bottomLeft" activeCell="Q9" sqref="Q9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3.28515625" style="32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295</v>
      </c>
      <c r="B1" s="31"/>
      <c r="C1" s="31"/>
    </row>
    <row r="2" spans="1:21" ht="18.75" x14ac:dyDescent="0.3">
      <c r="A2" s="30"/>
      <c r="B2" s="31"/>
      <c r="C2" s="31"/>
      <c r="D2" s="123" t="s">
        <v>42</v>
      </c>
      <c r="E2" s="123"/>
      <c r="F2" s="123"/>
      <c r="G2" s="123"/>
      <c r="H2" s="123"/>
      <c r="I2" s="123"/>
      <c r="J2" s="124" t="s">
        <v>43</v>
      </c>
      <c r="K2" s="124"/>
      <c r="L2" s="124"/>
      <c r="M2" s="124"/>
      <c r="N2" s="124"/>
      <c r="O2" s="124"/>
      <c r="P2" s="124"/>
    </row>
    <row r="3" spans="1:21" ht="15.75" x14ac:dyDescent="0.25">
      <c r="A3" s="30"/>
      <c r="B3" s="31"/>
      <c r="C3" s="31"/>
      <c r="D3" s="126" t="s">
        <v>44</v>
      </c>
      <c r="E3" s="126"/>
      <c r="F3" s="126" t="s">
        <v>45</v>
      </c>
      <c r="G3" s="126"/>
      <c r="H3" s="126"/>
      <c r="I3" s="126"/>
      <c r="J3" s="35"/>
      <c r="O3" s="35"/>
      <c r="P3" s="35"/>
      <c r="Q3" s="36" t="s">
        <v>46</v>
      </c>
    </row>
    <row r="4" spans="1:21" s="34" customFormat="1" ht="15.75" thickBot="1" x14ac:dyDescent="0.3">
      <c r="A4" s="37" t="s">
        <v>47</v>
      </c>
      <c r="B4" s="38" t="s">
        <v>48</v>
      </c>
      <c r="C4" s="38" t="s">
        <v>49</v>
      </c>
      <c r="D4" s="38" t="s">
        <v>50</v>
      </c>
      <c r="E4" s="38" t="s">
        <v>51</v>
      </c>
      <c r="F4" s="38" t="s">
        <v>52</v>
      </c>
      <c r="G4" s="38" t="s">
        <v>53</v>
      </c>
      <c r="H4" s="38" t="s">
        <v>22</v>
      </c>
      <c r="I4" s="38" t="s">
        <v>54</v>
      </c>
      <c r="J4" s="38" t="s">
        <v>55</v>
      </c>
      <c r="K4" s="38" t="s">
        <v>56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57</v>
      </c>
      <c r="Q4" s="39" t="s">
        <v>58</v>
      </c>
    </row>
    <row r="5" spans="1:21" ht="24" thickTop="1" x14ac:dyDescent="0.35">
      <c r="A5" s="125" t="s">
        <v>33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Q-TELL TRANSIT LLC</v>
      </c>
      <c r="B6" s="53">
        <v>2302</v>
      </c>
      <c r="C6" s="40" t="str">
        <v>qtelltransit@gmail.com</v>
      </c>
      <c r="D6" s="41">
        <f>IFERROR(SUMIF(SumVDPMVReport[PARTNER NAME],$A6,SumVDPMVReport[Total Rev]),0)</f>
        <v>9767.1104999999989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0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643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69.400000000000006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9054.7104999999992</v>
      </c>
      <c r="U6" s="89"/>
    </row>
    <row r="7" spans="1:21" x14ac:dyDescent="0.25">
      <c r="A7" s="46" t="str">
        <v>DIRECT TRANSIT LLC</v>
      </c>
      <c r="B7" s="53">
        <v>2338</v>
      </c>
      <c r="C7" s="40" t="str">
        <v>marlon@direct-transit.com</v>
      </c>
      <c r="D7" s="41">
        <f>IFERROR(SUMIF(SumVDPMVReport[PARTNER NAME],$A7,SumVDPMVReport[Total Rev]),0)</f>
        <v>3228.29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0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771.6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663.5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1793.19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14217.5162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0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1286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45.5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12886.0162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info@deanlogisticssolutions.com</v>
      </c>
      <c r="D9" s="41">
        <f>IFERROR(SUMIF(SumVDPMVReport[PARTNER NAME],$A9,SumVDPMVReport[Total Rev]),0)</f>
        <v>1937.595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643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1294.595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3264.9654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643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2621.9654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32415.477100000004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0</v>
      </c>
      <c r="J14" s="47">
        <f t="shared" si="1"/>
        <v>0</v>
      </c>
      <c r="K14" s="47">
        <f t="shared" si="1"/>
        <v>3986.6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778.4</v>
      </c>
      <c r="P14" s="47">
        <f t="shared" si="1"/>
        <v>0</v>
      </c>
      <c r="Q14" s="47">
        <f t="shared" si="1"/>
        <v>27650.477100000004</v>
      </c>
    </row>
    <row r="17" spans="1:20" ht="15.75" x14ac:dyDescent="0.25">
      <c r="D17" s="48">
        <f>D14</f>
        <v>32415.477100000004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0</v>
      </c>
      <c r="J17" s="48">
        <f t="shared" si="2"/>
        <v>0</v>
      </c>
      <c r="K17" s="48">
        <f t="shared" si="2"/>
        <v>3986.6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778.4</v>
      </c>
      <c r="P17" s="48">
        <f t="shared" si="2"/>
        <v>0</v>
      </c>
      <c r="Q17" s="48">
        <f t="shared" si="2"/>
        <v>27650.477100000004</v>
      </c>
      <c r="R17" s="48">
        <f t="shared" si="2"/>
        <v>0</v>
      </c>
      <c r="S17" s="48">
        <f t="shared" si="2"/>
        <v>0</v>
      </c>
    </row>
    <row r="20" spans="1:20" ht="15" customHeight="1" x14ac:dyDescent="0.25"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</row>
    <row r="21" spans="1:20" ht="15" customHeight="1" x14ac:dyDescent="0.25">
      <c r="G21" s="89"/>
      <c r="P21" s="89"/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23</v>
      </c>
      <c r="L1" t="s">
        <v>22</v>
      </c>
      <c r="M1" t="s">
        <v>67</v>
      </c>
      <c r="N1" t="s">
        <v>68</v>
      </c>
      <c r="O1" t="s">
        <v>20</v>
      </c>
      <c r="P1" t="s">
        <v>27</v>
      </c>
      <c r="Q1" t="s">
        <v>69</v>
      </c>
      <c r="R1" t="s">
        <v>70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1/27/25,  2/9/25</v>
      </c>
      <c r="F2" cm="1">
        <f t="array" ref="F2:F6">INDEX(PR!B:B,_xlfn.ANCHORARRAY($C2))</f>
        <v>2302</v>
      </c>
      <c r="H2" cm="1">
        <f t="array" ref="H2:H6">INDEX(PR!D:D,_xlfn.ANCHORARRAY($C2))+INDEX(PR!E:E,_xlfn.ANCHORARRAY($C2))</f>
        <v>9767.1104999999989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0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643</v>
      </c>
      <c r="O2" cm="1">
        <f t="array" ref="O2:O6">INDEX(PR!L:L,_xlfn.ANCHORARRAY($C2))+INDEX(PR!M:M,_xlfn.ANCHORARRAY($C2))+INDEX(PR!N:N,_xlfn.ANCHORARRAY($C2))+INDEX(PR!O:O,_xlfn.ANCHORARRAY($C2))</f>
        <v>69.400000000000006</v>
      </c>
      <c r="P2" cm="1">
        <f t="array" ref="P2:P6">INDEX(PR!P:P,_xlfn.ANCHORARRAY($C2))</f>
        <v>0</v>
      </c>
    </row>
    <row r="3" spans="1:18" x14ac:dyDescent="0.25">
      <c r="C3">
        <v>7</v>
      </c>
      <c r="D3" t="str">
        <v>DIV2-IL</v>
      </c>
      <c r="E3" t="str">
        <v>1/27/25,  2/9/25</v>
      </c>
      <c r="F3">
        <v>2338</v>
      </c>
      <c r="H3">
        <v>3228.29</v>
      </c>
      <c r="I3">
        <v>0</v>
      </c>
      <c r="J3">
        <v>0</v>
      </c>
      <c r="K3">
        <v>0</v>
      </c>
      <c r="L3">
        <v>0</v>
      </c>
      <c r="M3">
        <v>0</v>
      </c>
      <c r="N3">
        <v>771.6</v>
      </c>
      <c r="O3">
        <v>663.5</v>
      </c>
      <c r="P3">
        <v>0</v>
      </c>
    </row>
    <row r="4" spans="1:18" x14ac:dyDescent="0.25">
      <c r="C4">
        <v>8</v>
      </c>
      <c r="D4" t="str">
        <v>DIV2-IL</v>
      </c>
      <c r="E4" t="str">
        <v>1/27/25,  2/9/25</v>
      </c>
      <c r="F4">
        <v>2313</v>
      </c>
      <c r="H4">
        <v>14217.5162</v>
      </c>
      <c r="I4">
        <v>0</v>
      </c>
      <c r="J4">
        <v>0</v>
      </c>
      <c r="K4">
        <v>0</v>
      </c>
      <c r="L4">
        <v>0</v>
      </c>
      <c r="M4">
        <v>0</v>
      </c>
      <c r="N4">
        <v>1286</v>
      </c>
      <c r="O4">
        <v>45.5</v>
      </c>
      <c r="P4">
        <v>0</v>
      </c>
    </row>
    <row r="5" spans="1:18" x14ac:dyDescent="0.25">
      <c r="C5">
        <v>9</v>
      </c>
      <c r="D5" t="str">
        <v>DIV2-IL</v>
      </c>
      <c r="E5" t="str">
        <v>1/27/25,  2/9/25</v>
      </c>
      <c r="F5">
        <v>2555</v>
      </c>
      <c r="H5">
        <v>1937.595</v>
      </c>
      <c r="I5">
        <v>0</v>
      </c>
      <c r="J5">
        <v>0</v>
      </c>
      <c r="K5">
        <v>0</v>
      </c>
      <c r="L5">
        <v>0</v>
      </c>
      <c r="M5">
        <v>0</v>
      </c>
      <c r="N5">
        <v>643</v>
      </c>
      <c r="O5">
        <v>0</v>
      </c>
      <c r="P5">
        <v>0</v>
      </c>
    </row>
    <row r="6" spans="1:18" x14ac:dyDescent="0.25">
      <c r="C6">
        <v>10</v>
      </c>
      <c r="D6" t="str">
        <v>DIV2-IL</v>
      </c>
      <c r="E6" t="str">
        <v>1/27/25,  2/9/25</v>
      </c>
      <c r="F6">
        <v>2298</v>
      </c>
      <c r="H6">
        <v>3264.9654</v>
      </c>
      <c r="I6">
        <v>0</v>
      </c>
      <c r="J6">
        <v>0</v>
      </c>
      <c r="K6">
        <v>0</v>
      </c>
      <c r="L6">
        <v>0</v>
      </c>
      <c r="M6">
        <v>0</v>
      </c>
      <c r="N6">
        <v>643</v>
      </c>
      <c r="O6">
        <v>0</v>
      </c>
      <c r="P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27" t="s">
        <v>36</v>
      </c>
      <c r="C2" s="127"/>
      <c r="D2" s="127"/>
      <c r="E2" s="127"/>
      <c r="F2" s="127"/>
      <c r="H2" s="28" t="s">
        <v>75</v>
      </c>
      <c r="I2" s="29">
        <f>SUM($V$8,$Y$6)-$AB$7</f>
        <v>1294.595</v>
      </c>
      <c r="M2" s="8"/>
      <c r="V2" s="8"/>
      <c r="X2" s="95" t="s">
        <v>76</v>
      </c>
      <c r="Y2" s="95"/>
      <c r="AA2" s="137" t="s">
        <v>77</v>
      </c>
      <c r="AB2" s="137"/>
      <c r="AD2" s="137" t="s">
        <v>79</v>
      </c>
      <c r="AE2" s="137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80</v>
      </c>
      <c r="Y3" s="22">
        <f>SUMIF(Deduction_and_other_Revenue[PARTNER],$B$2,Deduction_and_other_Revenue[Bonus])</f>
        <v>0</v>
      </c>
      <c r="AA3" s="9" t="s">
        <v>55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31" t="s">
        <v>82</v>
      </c>
      <c r="K4" s="132"/>
      <c r="L4" s="133"/>
      <c r="M4" s="128" t="s">
        <v>83</v>
      </c>
      <c r="N4" s="129"/>
      <c r="O4" s="129"/>
      <c r="P4" s="130"/>
      <c r="X4" s="14" t="s">
        <v>84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643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85</v>
      </c>
      <c r="C5" s="24" t="s">
        <v>86</v>
      </c>
      <c r="D5" s="71" t="s">
        <v>87</v>
      </c>
      <c r="E5" s="71" t="s">
        <v>88</v>
      </c>
      <c r="F5" s="71" t="s">
        <v>89</v>
      </c>
      <c r="G5" s="70" t="s">
        <v>90</v>
      </c>
      <c r="H5" s="70" t="s">
        <v>91</v>
      </c>
      <c r="I5" s="77" t="s">
        <v>92</v>
      </c>
      <c r="J5" s="77" t="s">
        <v>93</v>
      </c>
      <c r="K5" s="77" t="s">
        <v>94</v>
      </c>
      <c r="L5" s="77" t="s">
        <v>95</v>
      </c>
      <c r="M5" s="77" t="s">
        <v>96</v>
      </c>
      <c r="N5" s="24" t="s">
        <v>97</v>
      </c>
      <c r="O5" s="24" t="s">
        <v>94</v>
      </c>
      <c r="P5" s="77" t="s">
        <v>95</v>
      </c>
      <c r="Q5" s="77" t="s">
        <v>98</v>
      </c>
      <c r="R5" s="77" t="s">
        <v>99</v>
      </c>
      <c r="S5" s="77" t="s">
        <v>100</v>
      </c>
      <c r="T5" s="77" t="s">
        <v>24</v>
      </c>
      <c r="U5" s="77" t="s">
        <v>101</v>
      </c>
      <c r="V5" s="77" t="s">
        <v>102</v>
      </c>
      <c r="X5" s="14" t="s">
        <v>54</v>
      </c>
      <c r="Y5" s="23">
        <f>SUMIF(Deduction_and_other_Revenue[PARTNER],$B$2,Deduction_and_other_Revenue[Reimbursement])</f>
        <v>0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50</v>
      </c>
      <c r="D6" s="4">
        <v>19.919999999999998</v>
      </c>
      <c r="E6" s="4">
        <v>19.919999999999998</v>
      </c>
      <c r="F6" s="4">
        <v>0</v>
      </c>
      <c r="G6" s="67">
        <v>0.39839999999999998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0.91428571428571404</v>
      </c>
      <c r="N6" s="87">
        <v>3.125E-2</v>
      </c>
      <c r="O6" s="8">
        <v>0</v>
      </c>
      <c r="P6" s="74">
        <v>0</v>
      </c>
      <c r="Q6" s="87">
        <v>0.88152610441767099</v>
      </c>
      <c r="R6" s="8">
        <v>0</v>
      </c>
      <c r="S6" s="8">
        <v>17</v>
      </c>
      <c r="T6" s="8">
        <v>0</v>
      </c>
      <c r="U6" s="8">
        <v>367.84</v>
      </c>
      <c r="V6" s="8">
        <v>384.84</v>
      </c>
      <c r="X6" s="51" t="s">
        <v>103</v>
      </c>
      <c r="Y6" s="52">
        <f>SUM(Y3:Y5)</f>
        <v>0</v>
      </c>
      <c r="AA6" s="11" t="s">
        <v>30</v>
      </c>
      <c r="AB6" s="12">
        <f>SUMIF(Deduction_and_other_Revenue[PARTNER],$B$2,Deduction_and_other_Revenue[Total Violation])</f>
        <v>0</v>
      </c>
      <c r="AD6" s="11" t="s">
        <v>104</v>
      </c>
      <c r="AE6" s="12">
        <f>SUMIF(Deduction_and_other_Revenue[PARTNER],$B$2,Deduction_and_other_Revenue[Violation])</f>
        <v>0</v>
      </c>
      <c r="AF6" s="8"/>
      <c r="AJ6" s="6"/>
    </row>
    <row r="7" spans="2:36" ht="15.75" thickBot="1" x14ac:dyDescent="0.3">
      <c r="B7" s="7" t="str">
        <v>Week2</v>
      </c>
      <c r="C7" s="69">
        <v>50</v>
      </c>
      <c r="D7" s="4">
        <v>50.31</v>
      </c>
      <c r="E7" s="4">
        <v>50</v>
      </c>
      <c r="F7" s="4">
        <v>0</v>
      </c>
      <c r="G7" s="67">
        <v>1</v>
      </c>
      <c r="H7" s="74">
        <v>1022.125</v>
      </c>
      <c r="I7" s="8">
        <v>0</v>
      </c>
      <c r="J7" s="8">
        <v>314.5</v>
      </c>
      <c r="K7" s="8">
        <v>0</v>
      </c>
      <c r="L7" s="74">
        <v>0</v>
      </c>
      <c r="M7" s="87">
        <v>0.92708333333333404</v>
      </c>
      <c r="N7" s="87">
        <v>2.2471910112359599E-2</v>
      </c>
      <c r="O7" s="8">
        <v>0</v>
      </c>
      <c r="P7" s="74">
        <v>78.625</v>
      </c>
      <c r="Q7" s="87">
        <v>0.95587358378055998</v>
      </c>
      <c r="R7" s="8">
        <v>78.625</v>
      </c>
      <c r="S7" s="8">
        <v>58.88</v>
      </c>
      <c r="T7" s="8">
        <v>0</v>
      </c>
      <c r="U7" s="8">
        <v>0</v>
      </c>
      <c r="V7" s="8">
        <v>1552.7550000000001</v>
      </c>
      <c r="W7" s="8"/>
      <c r="X7" s="8"/>
      <c r="Y7" s="15"/>
      <c r="AA7" s="9" t="s">
        <v>77</v>
      </c>
      <c r="AB7" s="10">
        <f>IFERROR(SUM(AB3:AB6),0)</f>
        <v>643</v>
      </c>
      <c r="AD7" s="9" t="s">
        <v>30</v>
      </c>
      <c r="AE7" s="10">
        <f>SUM(AE3:AE6)</f>
        <v>0</v>
      </c>
      <c r="AF7" s="8"/>
      <c r="AJ7" s="6"/>
    </row>
    <row r="8" spans="2:36" x14ac:dyDescent="0.25">
      <c r="B8" s="25" t="s">
        <v>105</v>
      </c>
      <c r="C8" s="76">
        <f>SUM(C6:C7)</f>
        <v>100</v>
      </c>
      <c r="D8" s="26">
        <f t="shared" ref="D8:F8" si="0">SUM(D6:D7)</f>
        <v>70.23</v>
      </c>
      <c r="E8" s="26">
        <f t="shared" si="0"/>
        <v>69.92</v>
      </c>
      <c r="F8" s="26">
        <f t="shared" si="0"/>
        <v>0</v>
      </c>
      <c r="G8" s="76"/>
      <c r="H8" s="86">
        <f>SUM(H6:H7)</f>
        <v>1022.125</v>
      </c>
      <c r="I8" s="27">
        <f>SUM(I6:I7)</f>
        <v>0</v>
      </c>
      <c r="J8" s="27">
        <f t="shared" ref="J8:O8" si="1">SUM(J6:J7)</f>
        <v>314.5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0</v>
      </c>
      <c r="P8" s="27">
        <f>SUM(P6:P7)</f>
        <v>78.625</v>
      </c>
      <c r="Q8" s="88"/>
      <c r="R8" s="27">
        <f>SUM(R6:R7)</f>
        <v>78.625</v>
      </c>
      <c r="S8" s="27">
        <f>SUM(S6:S7)</f>
        <v>75.88</v>
      </c>
      <c r="T8" s="27">
        <f>SUM(T6:T7)</f>
        <v>0</v>
      </c>
      <c r="U8" s="27">
        <f>SUM(U6:U7)</f>
        <v>367.84</v>
      </c>
      <c r="V8" s="27">
        <f>SUM(V6:V7)</f>
        <v>1937.595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34" t="s">
        <v>106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6"/>
      <c r="N10" s="6"/>
      <c r="O10" s="6"/>
      <c r="P10" s="6"/>
      <c r="Q10" s="6"/>
      <c r="R10" s="6"/>
      <c r="S10" s="6"/>
      <c r="T10" s="6"/>
      <c r="U10" s="6"/>
      <c r="X10" s="138" t="s">
        <v>107</v>
      </c>
      <c r="Y10" s="139"/>
      <c r="Z10" s="139"/>
      <c r="AA10" s="6"/>
      <c r="AB10" s="6"/>
      <c r="AE10" s="6"/>
      <c r="AJ10" s="6"/>
    </row>
    <row r="11" spans="2:36" ht="30.75" thickBot="1" x14ac:dyDescent="0.3">
      <c r="B11" s="78" t="s">
        <v>109</v>
      </c>
      <c r="C11" s="79" t="s">
        <v>110</v>
      </c>
      <c r="D11" s="80" t="s">
        <v>111</v>
      </c>
      <c r="E11" s="80" t="s">
        <v>112</v>
      </c>
      <c r="F11" s="81" t="s">
        <v>96</v>
      </c>
      <c r="G11" s="81" t="s">
        <v>97</v>
      </c>
      <c r="H11" s="82" t="s">
        <v>113</v>
      </c>
      <c r="I11" s="82" t="s">
        <v>114</v>
      </c>
      <c r="J11" s="83" t="s">
        <v>87</v>
      </c>
      <c r="K11" s="84" t="s">
        <v>115</v>
      </c>
      <c r="L11" s="91" t="s">
        <v>116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117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13">_xlfn._xlws.FILTER(VDPMVReport[[Week]:[Tolls]],VDPMVReport[PARTNER NAME]=$B$2,"No Data for the Selected Partner")</f>
        <v>45684</v>
      </c>
      <c r="C12" s="6" t="str">
        <v>David</v>
      </c>
      <c r="D12" s="6" t="str">
        <v>Rodgers</v>
      </c>
      <c r="E12" s="6">
        <v>33</v>
      </c>
      <c r="F12" s="66">
        <v>0.91428571428571426</v>
      </c>
      <c r="G12" s="67">
        <v>3.125E-2</v>
      </c>
      <c r="H12" s="5">
        <v>20.86</v>
      </c>
      <c r="I12" s="5">
        <v>0.94</v>
      </c>
      <c r="J12" s="4">
        <v>19.919999999999998</v>
      </c>
      <c r="K12" s="4">
        <v>367.84</v>
      </c>
      <c r="L12" s="3">
        <v>17</v>
      </c>
      <c r="M12" s="3">
        <v>0</v>
      </c>
      <c r="X12" s="8" cm="1">
        <f t="array" ref="X12:Z12">_xlfn._xlws.FILTER(Deduction_and_other_Revenue[[ Lift Lease Rate]:[LIFT LEASE TOTAL]],Deduction_and_other_Revenue[PARTNER]=$B$2,"No Data for the Selected Partner")</f>
        <v>321.5</v>
      </c>
      <c r="Y12" s="3">
        <v>2</v>
      </c>
      <c r="Z12" s="8">
        <v>643</v>
      </c>
      <c r="AA12" s="6"/>
      <c r="AB12" s="6"/>
      <c r="AE12" s="6"/>
      <c r="AJ12" s="6"/>
    </row>
    <row r="13" spans="2:36" x14ac:dyDescent="0.25">
      <c r="B13" s="7">
        <v>45691</v>
      </c>
      <c r="C13" s="6" t="str">
        <v>David</v>
      </c>
      <c r="D13" s="6" t="str">
        <v>Rodgers</v>
      </c>
      <c r="E13" s="6">
        <v>84</v>
      </c>
      <c r="F13" s="66">
        <v>0.92708333333333337</v>
      </c>
      <c r="G13" s="67">
        <v>2.247191011235955E-2</v>
      </c>
      <c r="H13" s="5">
        <v>50.32</v>
      </c>
      <c r="I13" s="5">
        <v>0.01</v>
      </c>
      <c r="J13" s="4">
        <v>50.31</v>
      </c>
      <c r="K13" s="4">
        <v>1059.1699999999901</v>
      </c>
      <c r="L13" s="3">
        <v>58.879999999999903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35"/>
  <sheetViews>
    <sheetView workbookViewId="0"/>
  </sheetViews>
  <sheetFormatPr defaultRowHeight="15" x14ac:dyDescent="0.25"/>
  <cols>
    <col min="1" max="1" width="9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1406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109</v>
      </c>
      <c r="B1" t="s">
        <v>110</v>
      </c>
      <c r="C1" t="s">
        <v>111</v>
      </c>
      <c r="D1" t="s">
        <v>112</v>
      </c>
      <c r="E1" t="s">
        <v>96</v>
      </c>
      <c r="F1" t="s">
        <v>97</v>
      </c>
      <c r="G1" t="s">
        <v>113</v>
      </c>
      <c r="H1" t="s">
        <v>114</v>
      </c>
      <c r="I1" t="s">
        <v>87</v>
      </c>
      <c r="J1" t="s">
        <v>115</v>
      </c>
      <c r="K1" t="s">
        <v>116</v>
      </c>
      <c r="L1" t="s">
        <v>24</v>
      </c>
      <c r="M1" t="s">
        <v>120</v>
      </c>
      <c r="N1" t="s">
        <v>121</v>
      </c>
      <c r="O1" t="s">
        <v>122</v>
      </c>
      <c r="P1" t="s">
        <v>123</v>
      </c>
      <c r="Q1" t="s">
        <v>124</v>
      </c>
      <c r="R1" t="s">
        <v>125</v>
      </c>
      <c r="S1" t="s">
        <v>126</v>
      </c>
      <c r="T1" t="s">
        <v>127</v>
      </c>
      <c r="U1" t="s">
        <v>128</v>
      </c>
      <c r="V1" t="s">
        <v>129</v>
      </c>
      <c r="W1" t="s">
        <v>130</v>
      </c>
      <c r="X1" t="s">
        <v>131</v>
      </c>
      <c r="Y1" t="s">
        <v>132</v>
      </c>
      <c r="Z1" t="s">
        <v>133</v>
      </c>
      <c r="AA1" t="s">
        <v>134</v>
      </c>
      <c r="AB1" t="s">
        <v>85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135</v>
      </c>
      <c r="AI1" t="s">
        <v>136</v>
      </c>
      <c r="AJ1" t="s">
        <v>137</v>
      </c>
      <c r="AK1" t="s">
        <v>7</v>
      </c>
    </row>
    <row r="2" spans="1:37" hidden="1" x14ac:dyDescent="0.25">
      <c r="A2" s="2">
        <v>45684</v>
      </c>
      <c r="B2" t="s">
        <v>300</v>
      </c>
      <c r="C2" t="s">
        <v>301</v>
      </c>
      <c r="D2">
        <v>20</v>
      </c>
      <c r="E2">
        <v>1</v>
      </c>
      <c r="F2">
        <v>8.3333333333333329E-2</v>
      </c>
      <c r="G2">
        <v>22.86</v>
      </c>
      <c r="H2">
        <v>0</v>
      </c>
      <c r="I2">
        <v>22.86</v>
      </c>
      <c r="J2">
        <v>246.59</v>
      </c>
      <c r="K2">
        <v>3</v>
      </c>
      <c r="L2">
        <v>0</v>
      </c>
      <c r="M2" t="s">
        <v>302</v>
      </c>
      <c r="N2">
        <v>4</v>
      </c>
      <c r="O2">
        <v>16</v>
      </c>
      <c r="P2">
        <v>12.11</v>
      </c>
      <c r="Q2">
        <v>0</v>
      </c>
      <c r="R2">
        <v>10.75</v>
      </c>
      <c r="S2">
        <v>1.05</v>
      </c>
      <c r="T2">
        <v>1.03</v>
      </c>
      <c r="U2">
        <v>0.87</v>
      </c>
      <c r="V2">
        <v>24</v>
      </c>
      <c r="W2">
        <v>0</v>
      </c>
      <c r="X2">
        <v>2</v>
      </c>
      <c r="Y2">
        <v>0</v>
      </c>
      <c r="Z2">
        <v>0</v>
      </c>
      <c r="AA2">
        <v>22.86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210</v>
      </c>
      <c r="AJ2" t="s">
        <v>37</v>
      </c>
      <c r="AK2">
        <v>0.7</v>
      </c>
    </row>
    <row r="3" spans="1:37" hidden="1" x14ac:dyDescent="0.25">
      <c r="A3" s="2">
        <v>45691</v>
      </c>
      <c r="B3" t="s">
        <v>300</v>
      </c>
      <c r="C3" t="s">
        <v>301</v>
      </c>
      <c r="D3">
        <v>2</v>
      </c>
      <c r="E3">
        <v>1</v>
      </c>
      <c r="F3">
        <v>0</v>
      </c>
      <c r="G3">
        <v>2.0099999999999998</v>
      </c>
      <c r="H3">
        <v>0</v>
      </c>
      <c r="I3">
        <v>2.0099999999999998</v>
      </c>
      <c r="J3">
        <v>34.5</v>
      </c>
      <c r="K3">
        <v>0</v>
      </c>
      <c r="L3">
        <v>0</v>
      </c>
      <c r="M3" t="s">
        <v>302</v>
      </c>
      <c r="N3">
        <v>2</v>
      </c>
      <c r="O3">
        <v>0</v>
      </c>
      <c r="P3">
        <v>2.0099999999999998</v>
      </c>
      <c r="Q3">
        <v>0</v>
      </c>
      <c r="R3">
        <v>0.01</v>
      </c>
      <c r="S3">
        <v>2.0099999999999998</v>
      </c>
      <c r="T3">
        <v>2.0099999999999998</v>
      </c>
      <c r="U3">
        <v>1</v>
      </c>
      <c r="V3">
        <v>3</v>
      </c>
      <c r="W3">
        <v>0</v>
      </c>
      <c r="X3">
        <v>0</v>
      </c>
      <c r="Y3">
        <v>2.0099999999999998</v>
      </c>
      <c r="Z3">
        <v>0</v>
      </c>
      <c r="AA3">
        <v>0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2.0099999999999998</v>
      </c>
      <c r="AI3" t="s">
        <v>210</v>
      </c>
      <c r="AJ3" t="s">
        <v>37</v>
      </c>
      <c r="AK3">
        <v>0.7</v>
      </c>
    </row>
    <row r="4" spans="1:37" hidden="1" x14ac:dyDescent="0.25">
      <c r="A4" s="2">
        <v>45684</v>
      </c>
      <c r="B4" t="s">
        <v>289</v>
      </c>
      <c r="C4" t="s">
        <v>290</v>
      </c>
      <c r="D4">
        <v>44</v>
      </c>
      <c r="E4">
        <v>1</v>
      </c>
      <c r="F4">
        <v>0.06</v>
      </c>
      <c r="G4">
        <v>29.59</v>
      </c>
      <c r="H4">
        <v>0.01</v>
      </c>
      <c r="I4">
        <v>29.58</v>
      </c>
      <c r="J4">
        <v>549.12</v>
      </c>
      <c r="K4">
        <v>18</v>
      </c>
      <c r="L4">
        <v>0</v>
      </c>
      <c r="M4" t="s">
        <v>323</v>
      </c>
      <c r="N4">
        <v>17</v>
      </c>
      <c r="O4">
        <v>27</v>
      </c>
      <c r="P4">
        <v>27.62</v>
      </c>
      <c r="Q4">
        <v>0</v>
      </c>
      <c r="R4">
        <v>1.96</v>
      </c>
      <c r="S4">
        <v>19.14</v>
      </c>
      <c r="T4">
        <v>18.59</v>
      </c>
      <c r="U4">
        <v>1.49</v>
      </c>
      <c r="V4">
        <v>50</v>
      </c>
      <c r="W4">
        <v>0</v>
      </c>
      <c r="X4">
        <v>3</v>
      </c>
      <c r="Y4">
        <v>0</v>
      </c>
      <c r="Z4">
        <v>0</v>
      </c>
      <c r="AA4">
        <v>29.58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0</v>
      </c>
      <c r="AI4" t="s">
        <v>139</v>
      </c>
      <c r="AJ4" t="s">
        <v>34</v>
      </c>
      <c r="AK4">
        <v>0.7</v>
      </c>
    </row>
    <row r="5" spans="1:37" hidden="1" x14ac:dyDescent="0.25">
      <c r="A5" s="2">
        <v>45691</v>
      </c>
      <c r="B5" t="s">
        <v>289</v>
      </c>
      <c r="C5" t="s">
        <v>290</v>
      </c>
      <c r="D5">
        <v>48</v>
      </c>
      <c r="E5">
        <v>1</v>
      </c>
      <c r="F5">
        <v>3.3898305084745763E-2</v>
      </c>
      <c r="G5">
        <v>32.200000000000003</v>
      </c>
      <c r="H5">
        <v>0</v>
      </c>
      <c r="I5">
        <v>32.200000000000003</v>
      </c>
      <c r="J5">
        <v>668.97</v>
      </c>
      <c r="K5">
        <v>41</v>
      </c>
      <c r="L5">
        <v>0</v>
      </c>
      <c r="M5" t="s">
        <v>323</v>
      </c>
      <c r="N5">
        <v>15</v>
      </c>
      <c r="O5">
        <v>33</v>
      </c>
      <c r="P5">
        <v>29.74</v>
      </c>
      <c r="Q5">
        <v>0</v>
      </c>
      <c r="R5">
        <v>2.46</v>
      </c>
      <c r="S5">
        <v>19.64</v>
      </c>
      <c r="T5">
        <v>18.510000000000002</v>
      </c>
      <c r="U5">
        <v>1.49</v>
      </c>
      <c r="V5">
        <v>59</v>
      </c>
      <c r="W5">
        <v>0</v>
      </c>
      <c r="X5">
        <v>2</v>
      </c>
      <c r="Y5">
        <v>32.200000000000003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32.200000000000003</v>
      </c>
      <c r="AI5" t="s">
        <v>139</v>
      </c>
      <c r="AJ5" t="s">
        <v>34</v>
      </c>
      <c r="AK5">
        <v>0.7</v>
      </c>
    </row>
    <row r="6" spans="1:37" hidden="1" x14ac:dyDescent="0.25">
      <c r="A6" s="2">
        <v>45684</v>
      </c>
      <c r="B6" t="s">
        <v>334</v>
      </c>
      <c r="C6" t="s">
        <v>335</v>
      </c>
      <c r="D6">
        <v>27</v>
      </c>
      <c r="E6">
        <v>1</v>
      </c>
      <c r="F6">
        <v>0.1</v>
      </c>
      <c r="G6">
        <v>25.65</v>
      </c>
      <c r="H6">
        <v>0</v>
      </c>
      <c r="I6">
        <v>25.65</v>
      </c>
      <c r="J6">
        <v>374.12</v>
      </c>
      <c r="K6">
        <v>25</v>
      </c>
      <c r="L6">
        <v>0</v>
      </c>
      <c r="M6" t="s">
        <v>336</v>
      </c>
      <c r="N6">
        <v>21</v>
      </c>
      <c r="O6">
        <v>6</v>
      </c>
      <c r="P6">
        <v>21.44</v>
      </c>
      <c r="Q6">
        <v>0</v>
      </c>
      <c r="R6">
        <v>4.21</v>
      </c>
      <c r="S6">
        <v>24.92</v>
      </c>
      <c r="T6">
        <v>21.17</v>
      </c>
      <c r="U6">
        <v>1.05</v>
      </c>
      <c r="V6">
        <v>30</v>
      </c>
      <c r="W6">
        <v>0</v>
      </c>
      <c r="X6">
        <v>3</v>
      </c>
      <c r="Y6">
        <v>0</v>
      </c>
      <c r="Z6">
        <v>0</v>
      </c>
      <c r="AA6">
        <v>25.65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0</v>
      </c>
      <c r="AI6" t="s">
        <v>294</v>
      </c>
      <c r="AJ6" t="s">
        <v>40</v>
      </c>
      <c r="AK6">
        <v>0.7</v>
      </c>
    </row>
    <row r="7" spans="1:37" hidden="1" x14ac:dyDescent="0.25">
      <c r="A7" s="2">
        <v>45691</v>
      </c>
      <c r="B7" t="s">
        <v>334</v>
      </c>
      <c r="C7" t="s">
        <v>335</v>
      </c>
      <c r="D7">
        <v>50</v>
      </c>
      <c r="E7">
        <v>1</v>
      </c>
      <c r="F7">
        <v>6.1224489795918366E-2</v>
      </c>
      <c r="G7">
        <v>53.1</v>
      </c>
      <c r="H7">
        <v>0.01</v>
      </c>
      <c r="I7">
        <v>53.09</v>
      </c>
      <c r="J7">
        <v>720.8</v>
      </c>
      <c r="K7">
        <v>30.04</v>
      </c>
      <c r="L7">
        <v>0</v>
      </c>
      <c r="M7" t="s">
        <v>336</v>
      </c>
      <c r="N7">
        <v>29</v>
      </c>
      <c r="O7">
        <v>21</v>
      </c>
      <c r="P7">
        <v>37.81</v>
      </c>
      <c r="Q7">
        <v>0</v>
      </c>
      <c r="R7">
        <v>15.28</v>
      </c>
      <c r="S7">
        <v>37.630000000000003</v>
      </c>
      <c r="T7">
        <v>29.35</v>
      </c>
      <c r="U7">
        <v>0.94</v>
      </c>
      <c r="V7">
        <v>49</v>
      </c>
      <c r="W7">
        <v>0</v>
      </c>
      <c r="X7">
        <v>3</v>
      </c>
      <c r="Y7">
        <v>0</v>
      </c>
      <c r="Z7">
        <v>0</v>
      </c>
      <c r="AA7">
        <v>53.09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0</v>
      </c>
      <c r="AI7" t="s">
        <v>294</v>
      </c>
      <c r="AJ7" t="s">
        <v>40</v>
      </c>
      <c r="AK7">
        <v>0.7</v>
      </c>
    </row>
    <row r="8" spans="1:37" hidden="1" x14ac:dyDescent="0.25">
      <c r="A8" s="2">
        <v>45684</v>
      </c>
      <c r="B8" t="s">
        <v>280</v>
      </c>
      <c r="C8" t="s">
        <v>281</v>
      </c>
      <c r="D8">
        <v>39</v>
      </c>
      <c r="E8">
        <v>1</v>
      </c>
      <c r="F8">
        <v>9.6153846153846159E-2</v>
      </c>
      <c r="G8">
        <v>23.73</v>
      </c>
      <c r="H8">
        <v>0.01</v>
      </c>
      <c r="I8">
        <v>23.72</v>
      </c>
      <c r="J8">
        <v>442.72</v>
      </c>
      <c r="K8">
        <v>46</v>
      </c>
      <c r="L8">
        <v>0</v>
      </c>
      <c r="M8" t="s">
        <v>304</v>
      </c>
      <c r="N8">
        <v>13</v>
      </c>
      <c r="O8">
        <v>26</v>
      </c>
      <c r="P8">
        <v>22.28</v>
      </c>
      <c r="Q8">
        <v>0</v>
      </c>
      <c r="R8">
        <v>1.44</v>
      </c>
      <c r="S8">
        <v>14.43</v>
      </c>
      <c r="T8">
        <v>13.88</v>
      </c>
      <c r="U8">
        <v>1.64</v>
      </c>
      <c r="V8">
        <v>52</v>
      </c>
      <c r="W8">
        <v>0</v>
      </c>
      <c r="X8">
        <v>5</v>
      </c>
      <c r="Y8">
        <v>0</v>
      </c>
      <c r="Z8">
        <v>0</v>
      </c>
      <c r="AA8">
        <v>23.72</v>
      </c>
      <c r="AB8" t="s">
        <v>12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141</v>
      </c>
      <c r="AJ8" t="s">
        <v>34</v>
      </c>
      <c r="AK8">
        <v>0.7</v>
      </c>
    </row>
    <row r="9" spans="1:37" hidden="1" x14ac:dyDescent="0.25">
      <c r="A9" s="2">
        <v>45691</v>
      </c>
      <c r="B9" t="s">
        <v>280</v>
      </c>
      <c r="C9" t="s">
        <v>281</v>
      </c>
      <c r="D9">
        <v>42</v>
      </c>
      <c r="E9">
        <v>1</v>
      </c>
      <c r="F9">
        <v>0.1111111111111111</v>
      </c>
      <c r="G9">
        <v>25.44</v>
      </c>
      <c r="H9">
        <v>0.43</v>
      </c>
      <c r="I9">
        <v>25.01</v>
      </c>
      <c r="J9">
        <v>520.67999999999995</v>
      </c>
      <c r="K9">
        <v>29.68</v>
      </c>
      <c r="L9">
        <v>0</v>
      </c>
      <c r="M9" t="s">
        <v>304</v>
      </c>
      <c r="N9">
        <v>7</v>
      </c>
      <c r="O9">
        <v>35</v>
      </c>
      <c r="P9">
        <v>22.56</v>
      </c>
      <c r="Q9">
        <v>0</v>
      </c>
      <c r="R9">
        <v>2.46</v>
      </c>
      <c r="S9">
        <v>15.11</v>
      </c>
      <c r="T9">
        <v>14.07</v>
      </c>
      <c r="U9">
        <v>1.65</v>
      </c>
      <c r="V9">
        <v>54</v>
      </c>
      <c r="W9">
        <v>0</v>
      </c>
      <c r="X9">
        <v>6</v>
      </c>
      <c r="Y9">
        <v>0</v>
      </c>
      <c r="Z9">
        <v>0</v>
      </c>
      <c r="AA9">
        <v>25.01</v>
      </c>
      <c r="AB9" t="s">
        <v>13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141</v>
      </c>
      <c r="AJ9" t="s">
        <v>34</v>
      </c>
      <c r="AK9">
        <v>0.7</v>
      </c>
    </row>
    <row r="10" spans="1:37" hidden="1" x14ac:dyDescent="0.25">
      <c r="A10" s="2">
        <v>45684</v>
      </c>
      <c r="B10" t="s">
        <v>297</v>
      </c>
      <c r="C10" t="s">
        <v>298</v>
      </c>
      <c r="D10">
        <v>100</v>
      </c>
      <c r="E10">
        <v>1</v>
      </c>
      <c r="F10">
        <v>8.8495575221238937E-3</v>
      </c>
      <c r="G10">
        <v>50.01</v>
      </c>
      <c r="H10">
        <v>0</v>
      </c>
      <c r="I10">
        <v>50.01</v>
      </c>
      <c r="J10">
        <v>966.23</v>
      </c>
      <c r="K10">
        <v>68</v>
      </c>
      <c r="L10">
        <v>0</v>
      </c>
      <c r="M10" t="s">
        <v>299</v>
      </c>
      <c r="N10">
        <v>14</v>
      </c>
      <c r="O10">
        <v>86</v>
      </c>
      <c r="P10">
        <v>47.67</v>
      </c>
      <c r="Q10">
        <v>0</v>
      </c>
      <c r="R10">
        <v>2.33</v>
      </c>
      <c r="S10">
        <v>11.32</v>
      </c>
      <c r="T10">
        <v>10.94</v>
      </c>
      <c r="U10">
        <v>2</v>
      </c>
      <c r="V10">
        <v>113</v>
      </c>
      <c r="W10">
        <v>0</v>
      </c>
      <c r="X10">
        <v>1</v>
      </c>
      <c r="Y10">
        <v>50.01</v>
      </c>
      <c r="Z10">
        <v>0</v>
      </c>
      <c r="AA10">
        <v>0</v>
      </c>
      <c r="AB10" t="s">
        <v>12</v>
      </c>
      <c r="AC10">
        <v>70</v>
      </c>
      <c r="AD10">
        <v>20</v>
      </c>
      <c r="AE10">
        <v>0.1</v>
      </c>
      <c r="AF10">
        <v>0.05</v>
      </c>
      <c r="AH10">
        <v>50.01</v>
      </c>
      <c r="AI10" t="s">
        <v>142</v>
      </c>
      <c r="AJ10" t="s">
        <v>32</v>
      </c>
      <c r="AK10">
        <v>0.7</v>
      </c>
    </row>
    <row r="11" spans="1:37" hidden="1" x14ac:dyDescent="0.25">
      <c r="A11" s="2">
        <v>45691</v>
      </c>
      <c r="B11" t="s">
        <v>297</v>
      </c>
      <c r="C11" t="s">
        <v>298</v>
      </c>
      <c r="D11">
        <v>97</v>
      </c>
      <c r="E11">
        <v>1</v>
      </c>
      <c r="F11">
        <v>8.5470085470085479E-3</v>
      </c>
      <c r="G11">
        <v>50.18</v>
      </c>
      <c r="H11">
        <v>0</v>
      </c>
      <c r="I11">
        <v>50.18</v>
      </c>
      <c r="J11">
        <v>928.48999999999899</v>
      </c>
      <c r="K11">
        <v>45.99</v>
      </c>
      <c r="L11">
        <v>0</v>
      </c>
      <c r="M11" t="s">
        <v>299</v>
      </c>
      <c r="N11">
        <v>16</v>
      </c>
      <c r="O11">
        <v>81</v>
      </c>
      <c r="P11">
        <v>47.34</v>
      </c>
      <c r="Q11">
        <v>0</v>
      </c>
      <c r="R11">
        <v>2.84</v>
      </c>
      <c r="S11">
        <v>14.88</v>
      </c>
      <c r="T11">
        <v>14.75</v>
      </c>
      <c r="U11">
        <v>1.93</v>
      </c>
      <c r="V11">
        <v>117</v>
      </c>
      <c r="W11">
        <v>0</v>
      </c>
      <c r="X11">
        <v>1</v>
      </c>
      <c r="Y11">
        <v>50.18</v>
      </c>
      <c r="Z11">
        <v>0</v>
      </c>
      <c r="AA11">
        <v>0</v>
      </c>
      <c r="AB11" t="s">
        <v>13</v>
      </c>
      <c r="AC11">
        <v>70</v>
      </c>
      <c r="AD11">
        <v>20</v>
      </c>
      <c r="AE11">
        <v>0.1</v>
      </c>
      <c r="AF11">
        <v>0.05</v>
      </c>
      <c r="AH11">
        <v>50.18</v>
      </c>
      <c r="AI11" t="s">
        <v>142</v>
      </c>
      <c r="AJ11" t="s">
        <v>32</v>
      </c>
      <c r="AK11">
        <v>0.7</v>
      </c>
    </row>
    <row r="12" spans="1:37" hidden="1" x14ac:dyDescent="0.25">
      <c r="A12" s="2">
        <v>45684</v>
      </c>
      <c r="B12" t="s">
        <v>306</v>
      </c>
      <c r="C12" t="s">
        <v>307</v>
      </c>
      <c r="D12">
        <v>84</v>
      </c>
      <c r="E12">
        <v>1</v>
      </c>
      <c r="F12">
        <v>2.9702970297029702E-2</v>
      </c>
      <c r="G12">
        <v>50.22</v>
      </c>
      <c r="H12">
        <v>0</v>
      </c>
      <c r="I12">
        <v>50.22</v>
      </c>
      <c r="J12">
        <v>929.03</v>
      </c>
      <c r="K12">
        <v>51</v>
      </c>
      <c r="L12">
        <v>0</v>
      </c>
      <c r="M12" t="s">
        <v>308</v>
      </c>
      <c r="N12">
        <v>47</v>
      </c>
      <c r="O12">
        <v>37</v>
      </c>
      <c r="P12">
        <v>48.37</v>
      </c>
      <c r="Q12">
        <v>0</v>
      </c>
      <c r="R12">
        <v>1.85</v>
      </c>
      <c r="S12">
        <v>32.76</v>
      </c>
      <c r="T12">
        <v>31.96</v>
      </c>
      <c r="U12">
        <v>1.67</v>
      </c>
      <c r="V12">
        <v>101</v>
      </c>
      <c r="W12">
        <v>0</v>
      </c>
      <c r="X12">
        <v>3</v>
      </c>
      <c r="Y12">
        <v>50.22</v>
      </c>
      <c r="Z12">
        <v>0</v>
      </c>
      <c r="AA12">
        <v>0</v>
      </c>
      <c r="AB12" t="s">
        <v>12</v>
      </c>
      <c r="AC12">
        <v>70</v>
      </c>
      <c r="AD12">
        <v>20</v>
      </c>
      <c r="AE12">
        <v>0.1</v>
      </c>
      <c r="AF12">
        <v>0.05</v>
      </c>
      <c r="AH12">
        <v>50.22</v>
      </c>
      <c r="AI12" t="s">
        <v>143</v>
      </c>
      <c r="AJ12" t="s">
        <v>37</v>
      </c>
      <c r="AK12">
        <v>0.7</v>
      </c>
    </row>
    <row r="13" spans="1:37" hidden="1" x14ac:dyDescent="0.25">
      <c r="A13" s="2">
        <v>45691</v>
      </c>
      <c r="B13" t="s">
        <v>306</v>
      </c>
      <c r="C13" t="s">
        <v>307</v>
      </c>
      <c r="D13">
        <v>10</v>
      </c>
      <c r="E13">
        <v>1</v>
      </c>
      <c r="F13">
        <v>8.3333333333333329E-2</v>
      </c>
      <c r="G13">
        <v>8.15</v>
      </c>
      <c r="H13">
        <v>0</v>
      </c>
      <c r="I13">
        <v>8.15</v>
      </c>
      <c r="J13">
        <v>171.2</v>
      </c>
      <c r="K13">
        <v>21</v>
      </c>
      <c r="L13">
        <v>0</v>
      </c>
      <c r="M13" t="s">
        <v>308</v>
      </c>
      <c r="N13">
        <v>7</v>
      </c>
      <c r="O13">
        <v>3</v>
      </c>
      <c r="P13">
        <v>7.7</v>
      </c>
      <c r="Q13">
        <v>0</v>
      </c>
      <c r="R13">
        <v>0.45</v>
      </c>
      <c r="S13">
        <v>6.04</v>
      </c>
      <c r="T13">
        <v>5.91</v>
      </c>
      <c r="U13">
        <v>1.23</v>
      </c>
      <c r="V13">
        <v>12</v>
      </c>
      <c r="W13">
        <v>0</v>
      </c>
      <c r="X13">
        <v>1</v>
      </c>
      <c r="Y13">
        <v>0</v>
      </c>
      <c r="Z13">
        <v>0</v>
      </c>
      <c r="AA13">
        <v>8.15</v>
      </c>
      <c r="AB13" t="s">
        <v>13</v>
      </c>
      <c r="AC13">
        <v>70</v>
      </c>
      <c r="AD13">
        <v>20</v>
      </c>
      <c r="AE13">
        <v>0.1</v>
      </c>
      <c r="AF13">
        <v>0.05</v>
      </c>
      <c r="AH13">
        <v>0</v>
      </c>
      <c r="AI13" t="s">
        <v>143</v>
      </c>
      <c r="AJ13" t="s">
        <v>37</v>
      </c>
      <c r="AK13">
        <v>0.7</v>
      </c>
    </row>
    <row r="14" spans="1:37" hidden="1" x14ac:dyDescent="0.25">
      <c r="A14" s="2">
        <v>45684</v>
      </c>
      <c r="B14" t="s">
        <v>282</v>
      </c>
      <c r="C14" t="s">
        <v>283</v>
      </c>
      <c r="D14">
        <v>68</v>
      </c>
      <c r="E14">
        <v>1</v>
      </c>
      <c r="F14">
        <v>0</v>
      </c>
      <c r="G14">
        <v>40.869999999999997</v>
      </c>
      <c r="H14">
        <v>0.02</v>
      </c>
      <c r="I14">
        <v>40.849999999999994</v>
      </c>
      <c r="J14">
        <v>782.13</v>
      </c>
      <c r="K14">
        <v>31</v>
      </c>
      <c r="L14">
        <v>0</v>
      </c>
      <c r="M14" t="s">
        <v>303</v>
      </c>
      <c r="N14">
        <v>17</v>
      </c>
      <c r="O14">
        <v>51</v>
      </c>
      <c r="P14">
        <v>36.44</v>
      </c>
      <c r="Q14">
        <v>0</v>
      </c>
      <c r="R14">
        <v>4.41</v>
      </c>
      <c r="S14">
        <v>17.61</v>
      </c>
      <c r="T14">
        <v>16.23</v>
      </c>
      <c r="U14">
        <v>1.66</v>
      </c>
      <c r="V14">
        <v>80</v>
      </c>
      <c r="W14">
        <v>0</v>
      </c>
      <c r="X14">
        <v>0</v>
      </c>
      <c r="Y14">
        <v>40.849999999999994</v>
      </c>
      <c r="Z14">
        <v>0</v>
      </c>
      <c r="AA14">
        <v>0</v>
      </c>
      <c r="AB14" t="s">
        <v>12</v>
      </c>
      <c r="AC14">
        <v>70</v>
      </c>
      <c r="AD14">
        <v>20</v>
      </c>
      <c r="AE14">
        <v>0.1</v>
      </c>
      <c r="AF14">
        <v>0.05</v>
      </c>
      <c r="AH14">
        <v>40.849999999999994</v>
      </c>
      <c r="AI14" t="s">
        <v>145</v>
      </c>
      <c r="AJ14" t="s">
        <v>34</v>
      </c>
      <c r="AK14">
        <v>0.7</v>
      </c>
    </row>
    <row r="15" spans="1:37" hidden="1" x14ac:dyDescent="0.25">
      <c r="A15" s="2">
        <v>45691</v>
      </c>
      <c r="B15" t="s">
        <v>282</v>
      </c>
      <c r="C15" t="s">
        <v>283</v>
      </c>
      <c r="D15">
        <v>83</v>
      </c>
      <c r="E15">
        <v>1</v>
      </c>
      <c r="F15">
        <v>2.247191011235955E-2</v>
      </c>
      <c r="G15">
        <v>58.11</v>
      </c>
      <c r="H15">
        <v>1.89</v>
      </c>
      <c r="I15">
        <v>56.22</v>
      </c>
      <c r="J15">
        <v>1050.04</v>
      </c>
      <c r="K15">
        <v>49</v>
      </c>
      <c r="L15">
        <v>0</v>
      </c>
      <c r="M15" t="s">
        <v>303</v>
      </c>
      <c r="N15">
        <v>29</v>
      </c>
      <c r="O15">
        <v>54</v>
      </c>
      <c r="P15">
        <v>52.16</v>
      </c>
      <c r="Q15">
        <v>0</v>
      </c>
      <c r="R15">
        <v>4.07</v>
      </c>
      <c r="S15">
        <v>26.47</v>
      </c>
      <c r="T15">
        <v>26.1</v>
      </c>
      <c r="U15">
        <v>1.43</v>
      </c>
      <c r="V15">
        <v>89</v>
      </c>
      <c r="W15">
        <v>0</v>
      </c>
      <c r="X15">
        <v>2</v>
      </c>
      <c r="Y15">
        <v>56.22</v>
      </c>
      <c r="Z15">
        <v>0</v>
      </c>
      <c r="AA15">
        <v>0</v>
      </c>
      <c r="AB15" t="s">
        <v>13</v>
      </c>
      <c r="AC15">
        <v>70</v>
      </c>
      <c r="AD15">
        <v>20</v>
      </c>
      <c r="AE15">
        <v>0.1</v>
      </c>
      <c r="AF15">
        <v>0.05</v>
      </c>
      <c r="AH15">
        <v>56.22</v>
      </c>
      <c r="AI15" t="s">
        <v>145</v>
      </c>
      <c r="AJ15" t="s">
        <v>34</v>
      </c>
      <c r="AK15">
        <v>0.7</v>
      </c>
    </row>
    <row r="16" spans="1:37" hidden="1" x14ac:dyDescent="0.25">
      <c r="A16" s="2">
        <v>45684</v>
      </c>
      <c r="B16" t="s">
        <v>310</v>
      </c>
      <c r="C16" t="s">
        <v>311</v>
      </c>
      <c r="D16">
        <v>60</v>
      </c>
      <c r="E16">
        <v>1</v>
      </c>
      <c r="F16">
        <v>1.6129032258064516E-2</v>
      </c>
      <c r="G16">
        <v>33.07</v>
      </c>
      <c r="H16">
        <v>0</v>
      </c>
      <c r="I16">
        <v>33.07</v>
      </c>
      <c r="J16">
        <v>597.87</v>
      </c>
      <c r="K16">
        <v>30.38</v>
      </c>
      <c r="L16">
        <v>0</v>
      </c>
      <c r="M16" t="s">
        <v>312</v>
      </c>
      <c r="N16">
        <v>8</v>
      </c>
      <c r="O16">
        <v>52</v>
      </c>
      <c r="P16">
        <v>26.99</v>
      </c>
      <c r="Q16">
        <v>0</v>
      </c>
      <c r="R16">
        <v>6.08</v>
      </c>
      <c r="S16">
        <v>1.32</v>
      </c>
      <c r="T16">
        <v>1.2</v>
      </c>
      <c r="U16">
        <v>1.81</v>
      </c>
      <c r="V16">
        <v>62</v>
      </c>
      <c r="W16">
        <v>0</v>
      </c>
      <c r="X16">
        <v>1</v>
      </c>
      <c r="Y16">
        <v>33.07</v>
      </c>
      <c r="Z16">
        <v>0</v>
      </c>
      <c r="AA16">
        <v>0</v>
      </c>
      <c r="AB16" t="s">
        <v>12</v>
      </c>
      <c r="AC16">
        <v>70</v>
      </c>
      <c r="AD16">
        <v>20</v>
      </c>
      <c r="AE16">
        <v>0.1</v>
      </c>
      <c r="AF16">
        <v>0.05</v>
      </c>
      <c r="AH16">
        <v>33.07</v>
      </c>
      <c r="AI16" t="s">
        <v>146</v>
      </c>
      <c r="AJ16" t="s">
        <v>37</v>
      </c>
      <c r="AK16">
        <v>0.7</v>
      </c>
    </row>
    <row r="17" spans="1:37" hidden="1" x14ac:dyDescent="0.25">
      <c r="A17" s="2">
        <v>45691</v>
      </c>
      <c r="B17" t="s">
        <v>310</v>
      </c>
      <c r="C17" t="s">
        <v>311</v>
      </c>
      <c r="D17">
        <v>0</v>
      </c>
      <c r="E17">
        <v>0</v>
      </c>
      <c r="F17">
        <v>0</v>
      </c>
      <c r="G17">
        <v>0.02</v>
      </c>
      <c r="H17">
        <v>0</v>
      </c>
      <c r="I17">
        <v>0.02</v>
      </c>
      <c r="J17">
        <v>0</v>
      </c>
      <c r="K17">
        <v>0</v>
      </c>
      <c r="L17">
        <v>0</v>
      </c>
      <c r="M17" t="s">
        <v>312</v>
      </c>
      <c r="N17">
        <v>0</v>
      </c>
      <c r="O17">
        <v>0</v>
      </c>
      <c r="P17">
        <v>0</v>
      </c>
      <c r="Q17">
        <v>0</v>
      </c>
      <c r="R17">
        <v>0.02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0.02</v>
      </c>
      <c r="AB17" t="s">
        <v>13</v>
      </c>
      <c r="AC17">
        <v>70</v>
      </c>
      <c r="AD17">
        <v>20</v>
      </c>
      <c r="AE17">
        <v>0.1</v>
      </c>
      <c r="AF17">
        <v>0.05</v>
      </c>
      <c r="AH17">
        <v>0</v>
      </c>
      <c r="AI17" t="s">
        <v>146</v>
      </c>
      <c r="AJ17" t="s">
        <v>37</v>
      </c>
      <c r="AK17">
        <v>0.7</v>
      </c>
    </row>
    <row r="18" spans="1:37" hidden="1" x14ac:dyDescent="0.25">
      <c r="A18" s="2">
        <v>45691</v>
      </c>
      <c r="B18" t="s">
        <v>344</v>
      </c>
      <c r="C18" t="s">
        <v>345</v>
      </c>
      <c r="D18">
        <v>75</v>
      </c>
      <c r="E18">
        <v>0.56756756756756754</v>
      </c>
      <c r="F18">
        <v>3.5714285714285712E-2</v>
      </c>
      <c r="G18">
        <v>33.229999999999997</v>
      </c>
      <c r="H18">
        <v>0</v>
      </c>
      <c r="I18">
        <v>33.229999999999997</v>
      </c>
      <c r="J18">
        <v>702.73999999999899</v>
      </c>
      <c r="K18">
        <v>17.59</v>
      </c>
      <c r="L18">
        <v>0</v>
      </c>
      <c r="M18" t="s">
        <v>346</v>
      </c>
      <c r="N18">
        <v>9</v>
      </c>
      <c r="O18">
        <v>66</v>
      </c>
      <c r="P18">
        <v>29.8</v>
      </c>
      <c r="Q18">
        <v>0</v>
      </c>
      <c r="R18">
        <v>3.43</v>
      </c>
      <c r="S18">
        <v>0.12</v>
      </c>
      <c r="T18">
        <v>0.12</v>
      </c>
      <c r="U18">
        <v>2.2599999999999998</v>
      </c>
      <c r="V18">
        <v>84</v>
      </c>
      <c r="W18">
        <v>64</v>
      </c>
      <c r="X18">
        <v>3</v>
      </c>
      <c r="Y18">
        <v>0</v>
      </c>
      <c r="Z18">
        <v>0</v>
      </c>
      <c r="AA18">
        <v>33.229999999999997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0</v>
      </c>
      <c r="AI18" t="s">
        <v>343</v>
      </c>
      <c r="AJ18" t="s">
        <v>40</v>
      </c>
      <c r="AK18">
        <v>0.7</v>
      </c>
    </row>
    <row r="19" spans="1:37" hidden="1" x14ac:dyDescent="0.25">
      <c r="A19" s="2">
        <v>45684</v>
      </c>
      <c r="B19" t="s">
        <v>324</v>
      </c>
      <c r="C19" t="s">
        <v>325</v>
      </c>
      <c r="D19">
        <v>79</v>
      </c>
      <c r="E19">
        <v>0.9042553191489362</v>
      </c>
      <c r="F19">
        <v>0</v>
      </c>
      <c r="G19">
        <v>47.82</v>
      </c>
      <c r="H19">
        <v>0.8</v>
      </c>
      <c r="I19">
        <v>47.02</v>
      </c>
      <c r="J19">
        <v>796.04</v>
      </c>
      <c r="K19">
        <v>24</v>
      </c>
      <c r="L19">
        <v>0</v>
      </c>
      <c r="M19" t="s">
        <v>326</v>
      </c>
      <c r="N19">
        <v>5</v>
      </c>
      <c r="O19">
        <v>74</v>
      </c>
      <c r="P19">
        <v>32.340000000000003</v>
      </c>
      <c r="Q19">
        <v>9</v>
      </c>
      <c r="R19">
        <v>14.67</v>
      </c>
      <c r="S19">
        <v>0.28999999999999998</v>
      </c>
      <c r="T19">
        <v>0.28000000000000003</v>
      </c>
      <c r="U19">
        <v>1.65</v>
      </c>
      <c r="V19">
        <v>85</v>
      </c>
      <c r="W19">
        <v>0</v>
      </c>
      <c r="X19">
        <v>0</v>
      </c>
      <c r="Y19">
        <v>0</v>
      </c>
      <c r="Z19">
        <v>0</v>
      </c>
      <c r="AA19">
        <v>47.02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0</v>
      </c>
      <c r="AI19" t="s">
        <v>147</v>
      </c>
      <c r="AJ19" t="s">
        <v>40</v>
      </c>
      <c r="AK19">
        <v>0.7</v>
      </c>
    </row>
    <row r="20" spans="1:37" hidden="1" x14ac:dyDescent="0.25">
      <c r="A20" s="2">
        <v>45691</v>
      </c>
      <c r="B20" t="s">
        <v>324</v>
      </c>
      <c r="C20" t="s">
        <v>325</v>
      </c>
      <c r="D20">
        <v>56</v>
      </c>
      <c r="E20">
        <v>1</v>
      </c>
      <c r="F20">
        <v>0</v>
      </c>
      <c r="G20">
        <v>35.630000000000003</v>
      </c>
      <c r="H20">
        <v>0.18</v>
      </c>
      <c r="I20">
        <v>35.450000000000003</v>
      </c>
      <c r="J20">
        <v>572.96</v>
      </c>
      <c r="K20">
        <v>27</v>
      </c>
      <c r="L20">
        <v>0</v>
      </c>
      <c r="M20" t="s">
        <v>326</v>
      </c>
      <c r="N20">
        <v>4</v>
      </c>
      <c r="O20">
        <v>52</v>
      </c>
      <c r="P20">
        <v>23.93</v>
      </c>
      <c r="Q20">
        <v>0</v>
      </c>
      <c r="R20">
        <v>11.52</v>
      </c>
      <c r="S20">
        <v>0</v>
      </c>
      <c r="T20">
        <v>0</v>
      </c>
      <c r="U20">
        <v>1.57</v>
      </c>
      <c r="V20">
        <v>58</v>
      </c>
      <c r="W20">
        <v>0</v>
      </c>
      <c r="X20">
        <v>0</v>
      </c>
      <c r="Y20">
        <v>35.450000000000003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35.450000000000003</v>
      </c>
      <c r="AI20" t="s">
        <v>147</v>
      </c>
      <c r="AJ20" t="s">
        <v>40</v>
      </c>
      <c r="AK20">
        <v>0.7</v>
      </c>
    </row>
    <row r="21" spans="1:37" hidden="1" x14ac:dyDescent="0.25">
      <c r="A21" s="2">
        <v>45684</v>
      </c>
      <c r="B21" t="s">
        <v>284</v>
      </c>
      <c r="C21" t="s">
        <v>285</v>
      </c>
      <c r="D21">
        <v>26</v>
      </c>
      <c r="E21">
        <v>0.97058823529411764</v>
      </c>
      <c r="F21">
        <v>9.0909090909090912E-2</v>
      </c>
      <c r="G21">
        <v>23.92</v>
      </c>
      <c r="H21">
        <v>0.01</v>
      </c>
      <c r="I21">
        <v>23.91</v>
      </c>
      <c r="J21">
        <v>414.21</v>
      </c>
      <c r="K21">
        <v>18.619999999999905</v>
      </c>
      <c r="L21">
        <v>0</v>
      </c>
      <c r="M21" t="s">
        <v>305</v>
      </c>
      <c r="N21">
        <v>14</v>
      </c>
      <c r="O21">
        <v>12</v>
      </c>
      <c r="P21">
        <v>21.36</v>
      </c>
      <c r="Q21">
        <v>0</v>
      </c>
      <c r="R21">
        <v>2.54</v>
      </c>
      <c r="S21">
        <v>19.16</v>
      </c>
      <c r="T21">
        <v>17.75</v>
      </c>
      <c r="U21">
        <v>1.0900000000000001</v>
      </c>
      <c r="V21">
        <v>33</v>
      </c>
      <c r="W21">
        <v>1</v>
      </c>
      <c r="X21">
        <v>3</v>
      </c>
      <c r="Y21">
        <v>0</v>
      </c>
      <c r="Z21">
        <v>0</v>
      </c>
      <c r="AA21">
        <v>23.91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0</v>
      </c>
      <c r="AI21" t="s">
        <v>148</v>
      </c>
      <c r="AJ21" t="s">
        <v>34</v>
      </c>
      <c r="AK21">
        <v>0.7</v>
      </c>
    </row>
    <row r="22" spans="1:37" hidden="1" x14ac:dyDescent="0.25">
      <c r="A22" s="2">
        <v>45691</v>
      </c>
      <c r="B22" t="s">
        <v>284</v>
      </c>
      <c r="C22" t="s">
        <v>285</v>
      </c>
      <c r="D22">
        <v>32</v>
      </c>
      <c r="E22">
        <v>0.97435897435897434</v>
      </c>
      <c r="F22">
        <v>2.6315789473684209E-2</v>
      </c>
      <c r="G22">
        <v>30.58</v>
      </c>
      <c r="H22">
        <v>0.01</v>
      </c>
      <c r="I22">
        <v>30.569999999999997</v>
      </c>
      <c r="J22">
        <v>529.92999999999995</v>
      </c>
      <c r="K22">
        <v>20</v>
      </c>
      <c r="L22">
        <v>0</v>
      </c>
      <c r="M22" t="s">
        <v>305</v>
      </c>
      <c r="N22">
        <v>14</v>
      </c>
      <c r="O22">
        <v>18</v>
      </c>
      <c r="P22">
        <v>25.59</v>
      </c>
      <c r="Q22">
        <v>0</v>
      </c>
      <c r="R22">
        <v>4.97</v>
      </c>
      <c r="S22">
        <v>17.52</v>
      </c>
      <c r="T22">
        <v>16.739999999999998</v>
      </c>
      <c r="U22">
        <v>1.05</v>
      </c>
      <c r="V22">
        <v>38</v>
      </c>
      <c r="W22">
        <v>1</v>
      </c>
      <c r="X22">
        <v>1</v>
      </c>
      <c r="Y22">
        <v>30.569999999999997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30.569999999999997</v>
      </c>
      <c r="AI22" t="s">
        <v>148</v>
      </c>
      <c r="AJ22" t="s">
        <v>34</v>
      </c>
      <c r="AK22">
        <v>0.7</v>
      </c>
    </row>
    <row r="23" spans="1:37" hidden="1" x14ac:dyDescent="0.25">
      <c r="A23" s="2">
        <v>45684</v>
      </c>
      <c r="B23" t="s">
        <v>314</v>
      </c>
      <c r="C23" t="s">
        <v>315</v>
      </c>
      <c r="D23">
        <v>23</v>
      </c>
      <c r="E23">
        <v>1</v>
      </c>
      <c r="F23">
        <v>0</v>
      </c>
      <c r="G23">
        <v>15.31</v>
      </c>
      <c r="H23">
        <v>0</v>
      </c>
      <c r="I23">
        <v>15.31</v>
      </c>
      <c r="J23">
        <v>272.87</v>
      </c>
      <c r="K23">
        <v>8</v>
      </c>
      <c r="L23">
        <v>0</v>
      </c>
      <c r="M23" t="s">
        <v>316</v>
      </c>
      <c r="N23">
        <v>8</v>
      </c>
      <c r="O23">
        <v>15</v>
      </c>
      <c r="P23">
        <v>11.7</v>
      </c>
      <c r="Q23">
        <v>0</v>
      </c>
      <c r="R23">
        <v>3.61</v>
      </c>
      <c r="S23">
        <v>10.28</v>
      </c>
      <c r="T23">
        <v>9.06</v>
      </c>
      <c r="U23">
        <v>1.5</v>
      </c>
      <c r="V23">
        <v>22</v>
      </c>
      <c r="W23">
        <v>0</v>
      </c>
      <c r="X23">
        <v>0</v>
      </c>
      <c r="Y23">
        <v>15.31</v>
      </c>
      <c r="Z23">
        <v>0</v>
      </c>
      <c r="AA23">
        <v>0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15.31</v>
      </c>
      <c r="AI23" t="s">
        <v>149</v>
      </c>
      <c r="AJ23" t="s">
        <v>37</v>
      </c>
      <c r="AK23">
        <v>0.7</v>
      </c>
    </row>
    <row r="24" spans="1:37" hidden="1" x14ac:dyDescent="0.25">
      <c r="A24" s="2">
        <v>45691</v>
      </c>
      <c r="B24" t="s">
        <v>314</v>
      </c>
      <c r="C24" t="s">
        <v>315</v>
      </c>
      <c r="D24">
        <v>9</v>
      </c>
      <c r="E24">
        <v>0.92307692307692313</v>
      </c>
      <c r="F24">
        <v>8.3333333333333329E-2</v>
      </c>
      <c r="G24">
        <v>7.86</v>
      </c>
      <c r="H24">
        <v>0</v>
      </c>
      <c r="I24">
        <v>7.86</v>
      </c>
      <c r="J24">
        <v>155.08999999999901</v>
      </c>
      <c r="K24">
        <v>7</v>
      </c>
      <c r="L24">
        <v>0</v>
      </c>
      <c r="M24" t="s">
        <v>316</v>
      </c>
      <c r="N24">
        <v>2</v>
      </c>
      <c r="O24">
        <v>7</v>
      </c>
      <c r="P24">
        <v>7.15</v>
      </c>
      <c r="Q24">
        <v>0</v>
      </c>
      <c r="R24">
        <v>0.71</v>
      </c>
      <c r="S24">
        <v>6.15</v>
      </c>
      <c r="T24">
        <v>5.49</v>
      </c>
      <c r="U24">
        <v>1.1499999999999999</v>
      </c>
      <c r="V24">
        <v>12</v>
      </c>
      <c r="W24">
        <v>1</v>
      </c>
      <c r="X24">
        <v>1</v>
      </c>
      <c r="Y24">
        <v>0</v>
      </c>
      <c r="Z24">
        <v>0</v>
      </c>
      <c r="AA24">
        <v>7.86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0</v>
      </c>
      <c r="AI24" t="s">
        <v>149</v>
      </c>
      <c r="AJ24" t="s">
        <v>37</v>
      </c>
      <c r="AK24">
        <v>0.7</v>
      </c>
    </row>
    <row r="25" spans="1:37" hidden="1" x14ac:dyDescent="0.25">
      <c r="A25" s="2">
        <v>45684</v>
      </c>
      <c r="B25" t="s">
        <v>317</v>
      </c>
      <c r="C25" t="s">
        <v>318</v>
      </c>
      <c r="D25">
        <v>46</v>
      </c>
      <c r="E25">
        <v>0.9850746268656716</v>
      </c>
      <c r="F25">
        <v>6.0606060606060608E-2</v>
      </c>
      <c r="G25">
        <v>38.130000000000003</v>
      </c>
      <c r="H25">
        <v>0.02</v>
      </c>
      <c r="I25">
        <v>38.11</v>
      </c>
      <c r="J25">
        <v>481.55</v>
      </c>
      <c r="K25">
        <v>44.5</v>
      </c>
      <c r="L25">
        <v>0</v>
      </c>
      <c r="M25" t="s">
        <v>319</v>
      </c>
      <c r="N25">
        <v>22</v>
      </c>
      <c r="O25">
        <v>24</v>
      </c>
      <c r="P25">
        <v>28.76</v>
      </c>
      <c r="Q25">
        <v>0</v>
      </c>
      <c r="R25">
        <v>9.35</v>
      </c>
      <c r="S25">
        <v>19.309999999999999</v>
      </c>
      <c r="T25">
        <v>16.55</v>
      </c>
      <c r="U25">
        <v>1.21</v>
      </c>
      <c r="V25">
        <v>66</v>
      </c>
      <c r="W25">
        <v>1</v>
      </c>
      <c r="X25">
        <v>4</v>
      </c>
      <c r="Y25">
        <v>0</v>
      </c>
      <c r="Z25">
        <v>0</v>
      </c>
      <c r="AA25">
        <v>38.11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0</v>
      </c>
      <c r="AI25" t="s">
        <v>151</v>
      </c>
      <c r="AJ25" t="s">
        <v>37</v>
      </c>
      <c r="AK25">
        <v>0.7</v>
      </c>
    </row>
    <row r="26" spans="1:37" hidden="1" x14ac:dyDescent="0.25">
      <c r="A26" s="2">
        <v>45684</v>
      </c>
      <c r="B26" t="s">
        <v>291</v>
      </c>
      <c r="C26" t="s">
        <v>292</v>
      </c>
      <c r="D26">
        <v>20</v>
      </c>
      <c r="E26">
        <v>0.95833333333333337</v>
      </c>
      <c r="F26">
        <v>0</v>
      </c>
      <c r="G26">
        <v>12.09</v>
      </c>
      <c r="H26">
        <v>0.09</v>
      </c>
      <c r="I26">
        <v>12</v>
      </c>
      <c r="J26">
        <v>263.81</v>
      </c>
      <c r="K26">
        <v>5</v>
      </c>
      <c r="L26">
        <v>0</v>
      </c>
      <c r="M26" t="s">
        <v>333</v>
      </c>
      <c r="N26">
        <v>5</v>
      </c>
      <c r="O26">
        <v>15</v>
      </c>
      <c r="P26">
        <v>10.67</v>
      </c>
      <c r="Q26">
        <v>1</v>
      </c>
      <c r="R26">
        <v>1.33</v>
      </c>
      <c r="S26">
        <v>0</v>
      </c>
      <c r="T26">
        <v>0</v>
      </c>
      <c r="U26">
        <v>1.65</v>
      </c>
      <c r="V26">
        <v>23</v>
      </c>
      <c r="W26">
        <v>0</v>
      </c>
      <c r="X26">
        <v>0</v>
      </c>
      <c r="Y26">
        <v>12</v>
      </c>
      <c r="Z26">
        <v>0</v>
      </c>
      <c r="AA26">
        <v>0</v>
      </c>
      <c r="AB26" t="s">
        <v>12</v>
      </c>
      <c r="AC26">
        <v>70</v>
      </c>
      <c r="AD26">
        <v>20</v>
      </c>
      <c r="AE26">
        <v>0.1</v>
      </c>
      <c r="AF26">
        <v>0.05</v>
      </c>
      <c r="AH26">
        <v>12</v>
      </c>
      <c r="AI26" t="s">
        <v>153</v>
      </c>
      <c r="AJ26" t="s">
        <v>34</v>
      </c>
      <c r="AK26">
        <v>0.7</v>
      </c>
    </row>
    <row r="27" spans="1:37" hidden="1" x14ac:dyDescent="0.25">
      <c r="A27" s="2">
        <v>45691</v>
      </c>
      <c r="B27" t="s">
        <v>291</v>
      </c>
      <c r="C27" t="s">
        <v>292</v>
      </c>
      <c r="D27">
        <v>29</v>
      </c>
      <c r="E27">
        <v>1</v>
      </c>
      <c r="F27">
        <v>3.0303030303030304E-2</v>
      </c>
      <c r="G27">
        <v>16.440000000000001</v>
      </c>
      <c r="H27">
        <v>0.01</v>
      </c>
      <c r="I27">
        <v>16.43</v>
      </c>
      <c r="J27">
        <v>405.95</v>
      </c>
      <c r="K27">
        <v>14.4</v>
      </c>
      <c r="L27">
        <v>0</v>
      </c>
      <c r="M27" t="s">
        <v>333</v>
      </c>
      <c r="N27">
        <v>3</v>
      </c>
      <c r="O27">
        <v>26</v>
      </c>
      <c r="P27">
        <v>15.24</v>
      </c>
      <c r="Q27">
        <v>0</v>
      </c>
      <c r="R27">
        <v>1.19</v>
      </c>
      <c r="S27">
        <v>0</v>
      </c>
      <c r="T27">
        <v>0</v>
      </c>
      <c r="U27">
        <v>1.76</v>
      </c>
      <c r="V27">
        <v>33</v>
      </c>
      <c r="W27">
        <v>0</v>
      </c>
      <c r="X27">
        <v>1</v>
      </c>
      <c r="Y27">
        <v>16.43</v>
      </c>
      <c r="Z27">
        <v>0</v>
      </c>
      <c r="AA27">
        <v>0</v>
      </c>
      <c r="AB27" t="s">
        <v>13</v>
      </c>
      <c r="AC27">
        <v>70</v>
      </c>
      <c r="AD27">
        <v>20</v>
      </c>
      <c r="AE27">
        <v>0.1</v>
      </c>
      <c r="AF27">
        <v>0.05</v>
      </c>
      <c r="AH27">
        <v>16.43</v>
      </c>
      <c r="AI27" t="s">
        <v>153</v>
      </c>
      <c r="AJ27" t="s">
        <v>34</v>
      </c>
      <c r="AK27">
        <v>0.7</v>
      </c>
    </row>
    <row r="28" spans="1:37" hidden="1" x14ac:dyDescent="0.25">
      <c r="A28" s="2">
        <v>45684</v>
      </c>
      <c r="B28" t="s">
        <v>327</v>
      </c>
      <c r="C28" t="s">
        <v>328</v>
      </c>
      <c r="D28">
        <v>57</v>
      </c>
      <c r="E28">
        <v>0.81</v>
      </c>
      <c r="F28">
        <v>4.9382716049382713E-2</v>
      </c>
      <c r="G28">
        <v>36.71</v>
      </c>
      <c r="H28">
        <v>1.24</v>
      </c>
      <c r="I28">
        <v>35.47</v>
      </c>
      <c r="J28">
        <v>631.78</v>
      </c>
      <c r="K28">
        <v>92</v>
      </c>
      <c r="L28">
        <v>0</v>
      </c>
      <c r="M28" t="s">
        <v>329</v>
      </c>
      <c r="N28">
        <v>22</v>
      </c>
      <c r="O28">
        <v>35</v>
      </c>
      <c r="P28">
        <v>33.700000000000003</v>
      </c>
      <c r="Q28">
        <v>9</v>
      </c>
      <c r="R28">
        <v>1.77</v>
      </c>
      <c r="S28">
        <v>21.01</v>
      </c>
      <c r="T28">
        <v>20.02</v>
      </c>
      <c r="U28">
        <v>1.55</v>
      </c>
      <c r="V28">
        <v>81</v>
      </c>
      <c r="W28">
        <v>10</v>
      </c>
      <c r="X28">
        <v>4</v>
      </c>
      <c r="Y28">
        <v>0</v>
      </c>
      <c r="Z28">
        <v>0</v>
      </c>
      <c r="AA28">
        <v>35.47</v>
      </c>
      <c r="AB28" t="s">
        <v>12</v>
      </c>
      <c r="AC28">
        <v>70</v>
      </c>
      <c r="AD28">
        <v>20</v>
      </c>
      <c r="AE28">
        <v>0.1</v>
      </c>
      <c r="AF28">
        <v>0.05</v>
      </c>
      <c r="AH28">
        <v>0</v>
      </c>
      <c r="AI28" t="s">
        <v>154</v>
      </c>
      <c r="AJ28" t="s">
        <v>40</v>
      </c>
      <c r="AK28">
        <v>0.7</v>
      </c>
    </row>
    <row r="29" spans="1:37" hidden="1" x14ac:dyDescent="0.25">
      <c r="A29" s="2">
        <v>45691</v>
      </c>
      <c r="B29" t="s">
        <v>327</v>
      </c>
      <c r="C29" t="s">
        <v>328</v>
      </c>
      <c r="D29">
        <v>98</v>
      </c>
      <c r="E29">
        <v>0.74842767295597479</v>
      </c>
      <c r="F29">
        <v>5.0420168067226892E-2</v>
      </c>
      <c r="G29">
        <v>60.34</v>
      </c>
      <c r="H29">
        <v>0.28000000000000003</v>
      </c>
      <c r="I29">
        <v>60.06</v>
      </c>
      <c r="J29">
        <v>1090.72</v>
      </c>
      <c r="K29">
        <v>98.38</v>
      </c>
      <c r="L29">
        <v>0</v>
      </c>
      <c r="M29" t="s">
        <v>329</v>
      </c>
      <c r="N29">
        <v>38</v>
      </c>
      <c r="O29">
        <v>60</v>
      </c>
      <c r="P29">
        <v>57.69</v>
      </c>
      <c r="Q29">
        <v>17</v>
      </c>
      <c r="R29">
        <v>2.37</v>
      </c>
      <c r="S29">
        <v>39.21</v>
      </c>
      <c r="T29">
        <v>38.46</v>
      </c>
      <c r="U29">
        <v>1.62</v>
      </c>
      <c r="V29">
        <v>119</v>
      </c>
      <c r="W29">
        <v>23</v>
      </c>
      <c r="X29">
        <v>6</v>
      </c>
      <c r="Y29">
        <v>0</v>
      </c>
      <c r="Z29">
        <v>0</v>
      </c>
      <c r="AA29">
        <v>60.06</v>
      </c>
      <c r="AB29" t="s">
        <v>13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154</v>
      </c>
      <c r="AJ29" t="s">
        <v>40</v>
      </c>
      <c r="AK29">
        <v>0.7</v>
      </c>
    </row>
    <row r="30" spans="1:37" hidden="1" x14ac:dyDescent="0.25">
      <c r="A30" s="2">
        <v>45684</v>
      </c>
      <c r="B30" t="s">
        <v>282</v>
      </c>
      <c r="C30" t="s">
        <v>286</v>
      </c>
      <c r="D30">
        <v>64</v>
      </c>
      <c r="E30">
        <v>1</v>
      </c>
      <c r="F30">
        <v>1.1363636363636364E-2</v>
      </c>
      <c r="G30">
        <v>48.36</v>
      </c>
      <c r="H30">
        <v>5.54</v>
      </c>
      <c r="I30">
        <v>42.82</v>
      </c>
      <c r="J30">
        <v>662.22</v>
      </c>
      <c r="K30">
        <v>25</v>
      </c>
      <c r="L30">
        <v>0</v>
      </c>
      <c r="M30" t="s">
        <v>309</v>
      </c>
      <c r="N30">
        <v>12</v>
      </c>
      <c r="O30">
        <v>52</v>
      </c>
      <c r="P30">
        <v>34.35</v>
      </c>
      <c r="Q30">
        <v>0</v>
      </c>
      <c r="R30">
        <v>8.4700000000000006</v>
      </c>
      <c r="S30">
        <v>14.43</v>
      </c>
      <c r="T30">
        <v>11.94</v>
      </c>
      <c r="U30">
        <v>1.32</v>
      </c>
      <c r="V30">
        <v>88</v>
      </c>
      <c r="W30">
        <v>0</v>
      </c>
      <c r="X30">
        <v>1</v>
      </c>
      <c r="Y30">
        <v>42.82</v>
      </c>
      <c r="Z30">
        <v>0</v>
      </c>
      <c r="AA30">
        <v>0</v>
      </c>
      <c r="AB30" t="s">
        <v>12</v>
      </c>
      <c r="AC30">
        <v>70</v>
      </c>
      <c r="AD30">
        <v>20</v>
      </c>
      <c r="AE30">
        <v>0.1</v>
      </c>
      <c r="AF30">
        <v>0.05</v>
      </c>
      <c r="AH30">
        <v>42.82</v>
      </c>
      <c r="AI30" t="s">
        <v>155</v>
      </c>
      <c r="AJ30" t="s">
        <v>34</v>
      </c>
      <c r="AK30">
        <v>0.7</v>
      </c>
    </row>
    <row r="31" spans="1:37" hidden="1" x14ac:dyDescent="0.25">
      <c r="A31" s="2">
        <v>45691</v>
      </c>
      <c r="B31" t="s">
        <v>282</v>
      </c>
      <c r="C31" t="s">
        <v>286</v>
      </c>
      <c r="D31">
        <v>63</v>
      </c>
      <c r="E31">
        <v>1</v>
      </c>
      <c r="F31">
        <v>0</v>
      </c>
      <c r="G31">
        <v>59.04</v>
      </c>
      <c r="H31">
        <v>5.36</v>
      </c>
      <c r="I31">
        <v>53.68</v>
      </c>
      <c r="J31">
        <v>863.14</v>
      </c>
      <c r="K31">
        <v>49.18</v>
      </c>
      <c r="L31">
        <v>0</v>
      </c>
      <c r="M31" t="s">
        <v>309</v>
      </c>
      <c r="N31">
        <v>19</v>
      </c>
      <c r="O31">
        <v>44</v>
      </c>
      <c r="P31">
        <v>43.27</v>
      </c>
      <c r="Q31">
        <v>0</v>
      </c>
      <c r="R31">
        <v>10.41</v>
      </c>
      <c r="S31">
        <v>17.239999999999998</v>
      </c>
      <c r="T31">
        <v>16.010000000000002</v>
      </c>
      <c r="U31">
        <v>1.07</v>
      </c>
      <c r="V31">
        <v>79</v>
      </c>
      <c r="W31">
        <v>0</v>
      </c>
      <c r="X31">
        <v>0</v>
      </c>
      <c r="Y31">
        <v>53.68</v>
      </c>
      <c r="Z31">
        <v>0</v>
      </c>
      <c r="AA31">
        <v>0</v>
      </c>
      <c r="AB31" t="s">
        <v>13</v>
      </c>
      <c r="AC31">
        <v>70</v>
      </c>
      <c r="AD31">
        <v>20</v>
      </c>
      <c r="AE31">
        <v>0.1</v>
      </c>
      <c r="AF31">
        <v>0.05</v>
      </c>
      <c r="AH31">
        <v>53.68</v>
      </c>
      <c r="AI31" t="s">
        <v>155</v>
      </c>
      <c r="AJ31" t="s">
        <v>34</v>
      </c>
      <c r="AK31">
        <v>0.7</v>
      </c>
    </row>
    <row r="32" spans="1:37" hidden="1" x14ac:dyDescent="0.25">
      <c r="A32" s="2">
        <v>45684</v>
      </c>
      <c r="B32" t="s">
        <v>287</v>
      </c>
      <c r="C32" t="s">
        <v>288</v>
      </c>
      <c r="D32">
        <v>82</v>
      </c>
      <c r="E32">
        <v>1</v>
      </c>
      <c r="F32">
        <v>0</v>
      </c>
      <c r="G32">
        <v>32.31</v>
      </c>
      <c r="H32">
        <v>0.22</v>
      </c>
      <c r="I32">
        <v>32.090000000000003</v>
      </c>
      <c r="J32">
        <v>694.27</v>
      </c>
      <c r="K32">
        <v>16</v>
      </c>
      <c r="L32">
        <v>0</v>
      </c>
      <c r="M32" t="s">
        <v>313</v>
      </c>
      <c r="N32">
        <v>6</v>
      </c>
      <c r="O32">
        <v>76</v>
      </c>
      <c r="P32">
        <v>29.77</v>
      </c>
      <c r="Q32">
        <v>0</v>
      </c>
      <c r="R32">
        <v>2.3199999999999998</v>
      </c>
      <c r="S32">
        <v>1.7</v>
      </c>
      <c r="T32">
        <v>1.7</v>
      </c>
      <c r="U32">
        <v>2.54</v>
      </c>
      <c r="V32">
        <v>85</v>
      </c>
      <c r="W32">
        <v>0</v>
      </c>
      <c r="X32">
        <v>0</v>
      </c>
      <c r="Y32">
        <v>32.090000000000003</v>
      </c>
      <c r="Z32">
        <v>0</v>
      </c>
      <c r="AA32">
        <v>0</v>
      </c>
      <c r="AB32" t="s">
        <v>12</v>
      </c>
      <c r="AC32">
        <v>70</v>
      </c>
      <c r="AD32">
        <v>20</v>
      </c>
      <c r="AE32">
        <v>0.1</v>
      </c>
      <c r="AF32">
        <v>0.05</v>
      </c>
      <c r="AH32">
        <v>32.090000000000003</v>
      </c>
      <c r="AI32" t="s">
        <v>156</v>
      </c>
      <c r="AJ32" t="s">
        <v>34</v>
      </c>
      <c r="AK32">
        <v>0.7</v>
      </c>
    </row>
    <row r="33" spans="1:37" hidden="1" x14ac:dyDescent="0.25">
      <c r="A33" s="2">
        <v>45684</v>
      </c>
      <c r="B33" t="s">
        <v>320</v>
      </c>
      <c r="C33" t="s">
        <v>321</v>
      </c>
      <c r="D33">
        <v>19</v>
      </c>
      <c r="E33">
        <v>1</v>
      </c>
      <c r="F33">
        <v>0</v>
      </c>
      <c r="G33">
        <v>16.2</v>
      </c>
      <c r="H33">
        <v>0.04</v>
      </c>
      <c r="I33">
        <v>16.16</v>
      </c>
      <c r="J33">
        <v>166.70999999999901</v>
      </c>
      <c r="K33">
        <v>8</v>
      </c>
      <c r="L33">
        <v>0</v>
      </c>
      <c r="M33" t="s">
        <v>322</v>
      </c>
      <c r="N33">
        <v>6</v>
      </c>
      <c r="O33">
        <v>13</v>
      </c>
      <c r="P33">
        <v>11.54</v>
      </c>
      <c r="Q33">
        <v>0</v>
      </c>
      <c r="R33">
        <v>4.6100000000000003</v>
      </c>
      <c r="S33">
        <v>0.33</v>
      </c>
      <c r="T33">
        <v>0.28999999999999998</v>
      </c>
      <c r="U33">
        <v>1.17</v>
      </c>
      <c r="V33">
        <v>15</v>
      </c>
      <c r="W33">
        <v>0</v>
      </c>
      <c r="X33">
        <v>0</v>
      </c>
      <c r="Y33">
        <v>16.16</v>
      </c>
      <c r="Z33">
        <v>0</v>
      </c>
      <c r="AA33">
        <v>0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16.16</v>
      </c>
      <c r="AI33" t="s">
        <v>157</v>
      </c>
      <c r="AJ33" t="s">
        <v>37</v>
      </c>
      <c r="AK33">
        <v>0.7</v>
      </c>
    </row>
    <row r="34" spans="1:37" hidden="1" x14ac:dyDescent="0.25">
      <c r="A34" s="2">
        <v>45684</v>
      </c>
      <c r="B34" t="s">
        <v>330</v>
      </c>
      <c r="C34" t="s">
        <v>331</v>
      </c>
      <c r="D34">
        <v>33</v>
      </c>
      <c r="E34">
        <v>0.91428571428571426</v>
      </c>
      <c r="F34">
        <v>3.125E-2</v>
      </c>
      <c r="G34">
        <v>20.86</v>
      </c>
      <c r="H34">
        <v>0.94</v>
      </c>
      <c r="I34">
        <v>19.919999999999998</v>
      </c>
      <c r="J34">
        <v>367.84</v>
      </c>
      <c r="K34">
        <v>17</v>
      </c>
      <c r="L34">
        <v>0</v>
      </c>
      <c r="M34" t="s">
        <v>332</v>
      </c>
      <c r="N34">
        <v>8</v>
      </c>
      <c r="O34">
        <v>25</v>
      </c>
      <c r="P34">
        <v>17.559999999999999</v>
      </c>
      <c r="Q34">
        <v>0</v>
      </c>
      <c r="R34">
        <v>2.35</v>
      </c>
      <c r="S34">
        <v>11.67</v>
      </c>
      <c r="T34">
        <v>11.41</v>
      </c>
      <c r="U34">
        <v>1.58</v>
      </c>
      <c r="V34">
        <v>32</v>
      </c>
      <c r="W34">
        <v>3</v>
      </c>
      <c r="X34">
        <v>1</v>
      </c>
      <c r="Y34">
        <v>0</v>
      </c>
      <c r="Z34">
        <v>0</v>
      </c>
      <c r="AA34">
        <v>19.919999999999998</v>
      </c>
      <c r="AB34" t="s">
        <v>12</v>
      </c>
      <c r="AC34">
        <v>70</v>
      </c>
      <c r="AD34">
        <v>20</v>
      </c>
      <c r="AE34">
        <v>0.1</v>
      </c>
      <c r="AF34">
        <v>0.05</v>
      </c>
      <c r="AH34">
        <v>0</v>
      </c>
      <c r="AI34" t="s">
        <v>158</v>
      </c>
      <c r="AJ34" t="s">
        <v>36</v>
      </c>
      <c r="AK34">
        <v>0.7</v>
      </c>
    </row>
    <row r="35" spans="1:37" hidden="1" x14ac:dyDescent="0.25">
      <c r="A35" s="2">
        <v>45691</v>
      </c>
      <c r="B35" t="s">
        <v>330</v>
      </c>
      <c r="C35" t="s">
        <v>331</v>
      </c>
      <c r="D35">
        <v>84</v>
      </c>
      <c r="E35">
        <v>0.92708333333333337</v>
      </c>
      <c r="F35">
        <v>2.247191011235955E-2</v>
      </c>
      <c r="G35">
        <v>50.32</v>
      </c>
      <c r="H35">
        <v>0.01</v>
      </c>
      <c r="I35">
        <v>50.31</v>
      </c>
      <c r="J35">
        <v>1059.1699999999901</v>
      </c>
      <c r="K35">
        <v>58.879999999999903</v>
      </c>
      <c r="L35">
        <v>0</v>
      </c>
      <c r="M35" t="s">
        <v>332</v>
      </c>
      <c r="N35">
        <v>22</v>
      </c>
      <c r="O35">
        <v>62</v>
      </c>
      <c r="P35">
        <v>48.09</v>
      </c>
      <c r="Q35">
        <v>0</v>
      </c>
      <c r="R35">
        <v>2.21</v>
      </c>
      <c r="S35">
        <v>21.28</v>
      </c>
      <c r="T35">
        <v>20.53</v>
      </c>
      <c r="U35">
        <v>1.67</v>
      </c>
      <c r="V35">
        <v>89</v>
      </c>
      <c r="W35">
        <v>7</v>
      </c>
      <c r="X35">
        <v>2</v>
      </c>
      <c r="Y35">
        <v>0</v>
      </c>
      <c r="Z35">
        <v>0</v>
      </c>
      <c r="AA35">
        <v>50.31</v>
      </c>
      <c r="AB35" t="s">
        <v>13</v>
      </c>
      <c r="AC35">
        <v>70</v>
      </c>
      <c r="AD35">
        <v>20</v>
      </c>
      <c r="AE35">
        <v>0.1</v>
      </c>
      <c r="AF35">
        <v>0.05</v>
      </c>
      <c r="AH35">
        <v>0</v>
      </c>
      <c r="AI35" t="s">
        <v>158</v>
      </c>
      <c r="AJ35" t="s">
        <v>36</v>
      </c>
      <c r="AK35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T14"/>
  <sheetViews>
    <sheetView showGridLines="0" topLeftCell="B1" zoomScaleNormal="100" workbookViewId="0">
      <selection activeCell="P23" sqref="P23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4" width="9" customWidth="1"/>
    <col min="5" max="5" width="22" bestFit="1" customWidth="1"/>
    <col min="6" max="7" width="9" customWidth="1"/>
    <col min="10" max="10" width="21.5703125" customWidth="1"/>
    <col min="11" max="11" width="9.85546875" customWidth="1"/>
    <col min="12" max="18" width="11" style="61" customWidth="1"/>
    <col min="19" max="19" width="12.42578125" style="61" customWidth="1"/>
    <col min="20" max="20" width="11.140625" bestFit="1" customWidth="1"/>
  </cols>
  <sheetData>
    <row r="3" spans="1:20" ht="45" x14ac:dyDescent="0.25">
      <c r="A3" s="96" t="s">
        <v>137</v>
      </c>
      <c r="B3" s="96" t="s">
        <v>85</v>
      </c>
      <c r="C3" s="96" t="s">
        <v>87</v>
      </c>
      <c r="D3" s="96" t="s">
        <v>88</v>
      </c>
      <c r="E3" s="96" t="s">
        <v>89</v>
      </c>
      <c r="F3" t="s">
        <v>296</v>
      </c>
      <c r="J3" s="98" t="s">
        <v>137</v>
      </c>
      <c r="K3" s="99" t="s">
        <v>85</v>
      </c>
      <c r="L3" s="100" t="s">
        <v>338</v>
      </c>
      <c r="M3" s="100" t="s">
        <v>175</v>
      </c>
      <c r="N3" s="100" t="s">
        <v>340</v>
      </c>
      <c r="O3" s="100" t="s">
        <v>87</v>
      </c>
      <c r="P3" s="100" t="s">
        <v>88</v>
      </c>
      <c r="Q3" s="100" t="s">
        <v>89</v>
      </c>
      <c r="R3" s="100" t="s">
        <v>339</v>
      </c>
      <c r="S3" s="101" t="s">
        <v>341</v>
      </c>
      <c r="T3" s="112" t="s">
        <v>342</v>
      </c>
    </row>
    <row r="4" spans="1:20" hidden="1" x14ac:dyDescent="0.25">
      <c r="A4" t="s">
        <v>32</v>
      </c>
      <c r="B4" t="s">
        <v>12</v>
      </c>
      <c r="C4">
        <v>50.01</v>
      </c>
      <c r="D4">
        <v>50.01</v>
      </c>
      <c r="E4">
        <v>0</v>
      </c>
      <c r="F4" s="97">
        <v>0</v>
      </c>
      <c r="J4" s="102" t="s">
        <v>32</v>
      </c>
      <c r="K4" s="103" t="s">
        <v>12</v>
      </c>
      <c r="L4" s="104">
        <v>50</v>
      </c>
      <c r="M4" s="104">
        <v>1</v>
      </c>
      <c r="N4" s="104">
        <f>+L4+M4</f>
        <v>51</v>
      </c>
      <c r="O4" s="104">
        <v>50.01</v>
      </c>
      <c r="P4" s="104">
        <v>50.01</v>
      </c>
      <c r="Q4" s="104">
        <v>0</v>
      </c>
      <c r="R4" s="104">
        <f>+P4+Q4</f>
        <v>50.01</v>
      </c>
      <c r="S4" s="110">
        <f t="shared" ref="S4:S13" si="0">+O4-R4</f>
        <v>0</v>
      </c>
      <c r="T4" s="113">
        <f t="shared" ref="T4:T13" si="1">+O4/L4</f>
        <v>1.0002</v>
      </c>
    </row>
    <row r="5" spans="1:20" hidden="1" x14ac:dyDescent="0.25">
      <c r="A5" t="s">
        <v>32</v>
      </c>
      <c r="B5" t="s">
        <v>13</v>
      </c>
      <c r="C5">
        <v>50.18</v>
      </c>
      <c r="D5">
        <v>50.18</v>
      </c>
      <c r="E5">
        <v>0</v>
      </c>
      <c r="F5" s="97">
        <v>0</v>
      </c>
      <c r="J5" s="102" t="s">
        <v>32</v>
      </c>
      <c r="K5" s="103" t="s">
        <v>13</v>
      </c>
      <c r="L5" s="104">
        <v>50</v>
      </c>
      <c r="M5" s="104">
        <v>1</v>
      </c>
      <c r="N5" s="104">
        <f t="shared" ref="N5:N13" si="2">+L5+M5</f>
        <v>51</v>
      </c>
      <c r="O5" s="104">
        <v>50.18</v>
      </c>
      <c r="P5" s="104">
        <v>50.18</v>
      </c>
      <c r="Q5" s="104">
        <v>0</v>
      </c>
      <c r="R5" s="104">
        <f t="shared" ref="R5:R13" si="3">+P5+Q5</f>
        <v>50.18</v>
      </c>
      <c r="S5" s="110">
        <f t="shared" si="0"/>
        <v>0</v>
      </c>
      <c r="T5" s="114">
        <f t="shared" si="1"/>
        <v>1.0036</v>
      </c>
    </row>
    <row r="6" spans="1:20" hidden="1" x14ac:dyDescent="0.25">
      <c r="A6" t="s">
        <v>34</v>
      </c>
      <c r="B6" t="s">
        <v>12</v>
      </c>
      <c r="C6">
        <v>204.96999999999997</v>
      </c>
      <c r="D6">
        <v>140</v>
      </c>
      <c r="E6">
        <v>64.96999999999997</v>
      </c>
      <c r="F6" s="97">
        <f t="shared" ref="F6:F13" si="4">+C6-D6-E6</f>
        <v>0</v>
      </c>
      <c r="J6" s="102" t="s">
        <v>34</v>
      </c>
      <c r="K6" s="103" t="s">
        <v>12</v>
      </c>
      <c r="L6" s="104">
        <v>210</v>
      </c>
      <c r="M6" s="104"/>
      <c r="N6" s="104">
        <f t="shared" si="2"/>
        <v>210</v>
      </c>
      <c r="O6" s="104">
        <v>204.96999999999997</v>
      </c>
      <c r="P6" s="104">
        <v>140</v>
      </c>
      <c r="Q6" s="104">
        <v>64.96999999999997</v>
      </c>
      <c r="R6" s="104">
        <f t="shared" si="3"/>
        <v>204.96999999999997</v>
      </c>
      <c r="S6" s="110">
        <f t="shared" si="0"/>
        <v>0</v>
      </c>
      <c r="T6" s="114">
        <f t="shared" si="1"/>
        <v>0.97604761904761894</v>
      </c>
    </row>
    <row r="7" spans="1:20" hidden="1" x14ac:dyDescent="0.25">
      <c r="A7" t="s">
        <v>34</v>
      </c>
      <c r="B7" t="s">
        <v>13</v>
      </c>
      <c r="C7">
        <v>214.11</v>
      </c>
      <c r="D7">
        <v>140</v>
      </c>
      <c r="E7">
        <v>74.110000000000014</v>
      </c>
      <c r="F7" s="97">
        <v>0</v>
      </c>
      <c r="J7" s="102" t="s">
        <v>34</v>
      </c>
      <c r="K7" s="103" t="s">
        <v>13</v>
      </c>
      <c r="L7" s="104">
        <v>210</v>
      </c>
      <c r="M7" s="104">
        <v>20</v>
      </c>
      <c r="N7" s="104">
        <f t="shared" si="2"/>
        <v>230</v>
      </c>
      <c r="O7" s="104">
        <v>214.11</v>
      </c>
      <c r="P7" s="104">
        <v>140</v>
      </c>
      <c r="Q7" s="104">
        <v>74.110000000000014</v>
      </c>
      <c r="R7" s="104">
        <f t="shared" si="3"/>
        <v>214.11</v>
      </c>
      <c r="S7" s="110">
        <f t="shared" si="0"/>
        <v>0</v>
      </c>
      <c r="T7" s="114">
        <f t="shared" si="1"/>
        <v>1.0195714285714286</v>
      </c>
    </row>
    <row r="8" spans="1:20" x14ac:dyDescent="0.25">
      <c r="A8" t="s">
        <v>36</v>
      </c>
      <c r="B8" t="s">
        <v>12</v>
      </c>
      <c r="C8">
        <v>19.919999999999998</v>
      </c>
      <c r="D8">
        <v>19.919999999999998</v>
      </c>
      <c r="E8">
        <v>0</v>
      </c>
      <c r="F8" s="97">
        <f t="shared" si="4"/>
        <v>0</v>
      </c>
      <c r="J8" s="116" t="s">
        <v>36</v>
      </c>
      <c r="K8" s="117" t="s">
        <v>12</v>
      </c>
      <c r="L8" s="118">
        <v>50</v>
      </c>
      <c r="M8" s="118"/>
      <c r="N8" s="118">
        <f t="shared" si="2"/>
        <v>50</v>
      </c>
      <c r="O8" s="118">
        <v>19.919999999999998</v>
      </c>
      <c r="P8" s="118">
        <v>19.919999999999998</v>
      </c>
      <c r="Q8" s="118">
        <v>0</v>
      </c>
      <c r="R8" s="118">
        <f t="shared" si="3"/>
        <v>19.919999999999998</v>
      </c>
      <c r="S8" s="119">
        <f t="shared" si="0"/>
        <v>0</v>
      </c>
      <c r="T8" s="120">
        <f t="shared" si="1"/>
        <v>0.39839999999999998</v>
      </c>
    </row>
    <row r="9" spans="1:20" hidden="1" x14ac:dyDescent="0.25">
      <c r="A9" t="s">
        <v>36</v>
      </c>
      <c r="B9" t="s">
        <v>13</v>
      </c>
      <c r="C9">
        <v>50.31</v>
      </c>
      <c r="D9">
        <v>50</v>
      </c>
      <c r="E9">
        <v>0</v>
      </c>
      <c r="F9" s="97">
        <f t="shared" si="4"/>
        <v>0.31000000000000227</v>
      </c>
      <c r="J9" s="102" t="s">
        <v>36</v>
      </c>
      <c r="K9" s="103" t="s">
        <v>13</v>
      </c>
      <c r="L9" s="104">
        <v>50</v>
      </c>
      <c r="M9" s="104"/>
      <c r="N9" s="104">
        <f t="shared" si="2"/>
        <v>50</v>
      </c>
      <c r="O9" s="104">
        <v>50.31</v>
      </c>
      <c r="P9" s="104">
        <v>50</v>
      </c>
      <c r="Q9" s="104">
        <v>0</v>
      </c>
      <c r="R9" s="104">
        <f t="shared" si="3"/>
        <v>50</v>
      </c>
      <c r="S9" s="110">
        <f t="shared" si="0"/>
        <v>0.31000000000000227</v>
      </c>
      <c r="T9" s="114">
        <f t="shared" si="1"/>
        <v>1.0062</v>
      </c>
    </row>
    <row r="10" spans="1:20" x14ac:dyDescent="0.25">
      <c r="A10" t="s">
        <v>37</v>
      </c>
      <c r="B10" t="s">
        <v>12</v>
      </c>
      <c r="C10">
        <v>175.73</v>
      </c>
      <c r="D10">
        <v>140</v>
      </c>
      <c r="E10">
        <v>35.72999999999999</v>
      </c>
      <c r="F10" s="97">
        <v>0</v>
      </c>
      <c r="J10" s="116" t="s">
        <v>37</v>
      </c>
      <c r="K10" s="117" t="s">
        <v>12</v>
      </c>
      <c r="L10" s="118">
        <v>220</v>
      </c>
      <c r="M10" s="118"/>
      <c r="N10" s="118">
        <f t="shared" si="2"/>
        <v>220</v>
      </c>
      <c r="O10" s="118">
        <v>175.73</v>
      </c>
      <c r="P10" s="118">
        <v>140</v>
      </c>
      <c r="Q10" s="118">
        <v>35.72999999999999</v>
      </c>
      <c r="R10" s="118">
        <f t="shared" si="3"/>
        <v>175.73</v>
      </c>
      <c r="S10" s="119">
        <f t="shared" si="0"/>
        <v>0</v>
      </c>
      <c r="T10" s="120">
        <f t="shared" si="1"/>
        <v>0.79877272727272719</v>
      </c>
    </row>
    <row r="11" spans="1:20" x14ac:dyDescent="0.25">
      <c r="A11" t="s">
        <v>37</v>
      </c>
      <c r="B11" t="s">
        <v>13</v>
      </c>
      <c r="C11">
        <v>18.04</v>
      </c>
      <c r="D11">
        <v>18.04</v>
      </c>
      <c r="E11">
        <v>0</v>
      </c>
      <c r="F11" s="108">
        <v>0</v>
      </c>
      <c r="J11" s="116" t="s">
        <v>37</v>
      </c>
      <c r="K11" s="117" t="s">
        <v>13</v>
      </c>
      <c r="L11" s="118">
        <v>220</v>
      </c>
      <c r="M11" s="118"/>
      <c r="N11" s="118">
        <f t="shared" si="2"/>
        <v>220</v>
      </c>
      <c r="O11" s="118">
        <v>18.04</v>
      </c>
      <c r="P11" s="118">
        <v>18.04</v>
      </c>
      <c r="Q11" s="118">
        <v>0</v>
      </c>
      <c r="R11" s="118">
        <f t="shared" si="3"/>
        <v>18.04</v>
      </c>
      <c r="S11" s="119">
        <f t="shared" si="0"/>
        <v>0</v>
      </c>
      <c r="T11" s="120">
        <f t="shared" si="1"/>
        <v>8.199999999999999E-2</v>
      </c>
    </row>
    <row r="12" spans="1:20" hidden="1" x14ac:dyDescent="0.25">
      <c r="A12" t="s">
        <v>40</v>
      </c>
      <c r="B12" t="s">
        <v>12</v>
      </c>
      <c r="C12">
        <v>108.14000000000001</v>
      </c>
      <c r="D12">
        <v>70</v>
      </c>
      <c r="E12">
        <v>35</v>
      </c>
      <c r="F12" s="109">
        <f t="shared" si="4"/>
        <v>3.1400000000000148</v>
      </c>
      <c r="J12" s="102" t="s">
        <v>40</v>
      </c>
      <c r="K12" s="103" t="s">
        <v>12</v>
      </c>
      <c r="L12" s="104">
        <v>100</v>
      </c>
      <c r="M12" s="104">
        <v>5</v>
      </c>
      <c r="N12" s="104">
        <f t="shared" si="2"/>
        <v>105</v>
      </c>
      <c r="O12" s="104">
        <v>108.14000000000001</v>
      </c>
      <c r="P12" s="104">
        <v>70</v>
      </c>
      <c r="Q12" s="104">
        <v>35</v>
      </c>
      <c r="R12" s="104">
        <f t="shared" si="3"/>
        <v>105</v>
      </c>
      <c r="S12" s="121">
        <f t="shared" si="0"/>
        <v>3.1400000000000148</v>
      </c>
      <c r="T12" s="122">
        <f t="shared" si="1"/>
        <v>1.0814000000000001</v>
      </c>
    </row>
    <row r="13" spans="1:20" hidden="1" x14ac:dyDescent="0.25">
      <c r="A13" t="s">
        <v>40</v>
      </c>
      <c r="B13" t="s">
        <v>13</v>
      </c>
      <c r="C13">
        <v>181.83</v>
      </c>
      <c r="D13">
        <v>70</v>
      </c>
      <c r="E13">
        <v>111.83000000000001</v>
      </c>
      <c r="F13" s="109">
        <f t="shared" si="4"/>
        <v>0</v>
      </c>
      <c r="J13" s="105" t="s">
        <v>40</v>
      </c>
      <c r="K13" s="106" t="s">
        <v>13</v>
      </c>
      <c r="L13" s="107">
        <v>185</v>
      </c>
      <c r="M13" s="107">
        <v>6</v>
      </c>
      <c r="N13" s="104">
        <f t="shared" si="2"/>
        <v>191</v>
      </c>
      <c r="O13" s="107">
        <v>181.83</v>
      </c>
      <c r="P13" s="107">
        <v>70</v>
      </c>
      <c r="Q13" s="107">
        <v>111.83000000000001</v>
      </c>
      <c r="R13" s="107">
        <f t="shared" si="3"/>
        <v>181.83</v>
      </c>
      <c r="S13" s="111">
        <f t="shared" si="0"/>
        <v>0</v>
      </c>
      <c r="T13" s="115">
        <f t="shared" si="1"/>
        <v>0.98286486486486491</v>
      </c>
    </row>
    <row r="14" spans="1:20" x14ac:dyDescent="0.25">
      <c r="A14" t="s">
        <v>293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J11"/>
  <sheetViews>
    <sheetView workbookViewId="0">
      <selection activeCell="C1" sqref="C1:C1048576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3.140625" bestFit="1" customWidth="1"/>
    <col min="5" max="5" width="22" bestFit="1" customWidth="1"/>
    <col min="6" max="6" width="24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18" bestFit="1" customWidth="1"/>
    <col min="13" max="13" width="18.855468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2.7109375" bestFit="1" customWidth="1"/>
    <col min="19" max="19" width="7.42578125" bestFit="1" customWidth="1"/>
    <col min="20" max="20" width="14" bestFit="1" customWidth="1"/>
    <col min="21" max="21" width="11.42578125" bestFit="1" customWidth="1"/>
    <col min="22" max="22" width="22.5703125" bestFit="1" customWidth="1"/>
    <col min="23" max="23" width="11.425781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9.7109375" bestFit="1" customWidth="1"/>
    <col min="31" max="31" width="29.7109375" bestFit="1" customWidth="1"/>
    <col min="32" max="32" width="18.140625" bestFit="1" customWidth="1"/>
    <col min="33" max="33" width="20" bestFit="1" customWidth="1"/>
    <col min="34" max="34" width="15.42578125" bestFit="1" customWidth="1"/>
    <col min="35" max="35" width="12.5703125" bestFit="1" customWidth="1"/>
    <col min="36" max="36" width="16.85546875" bestFit="1" customWidth="1"/>
    <col min="37" max="37" width="16" bestFit="1" customWidth="1"/>
    <col min="38" max="38" width="13.710937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7.42578125" bestFit="1" customWidth="1"/>
    <col min="62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2" x14ac:dyDescent="0.25">
      <c r="A1" t="s">
        <v>85</v>
      </c>
      <c r="B1" t="s">
        <v>86</v>
      </c>
      <c r="C1" t="s">
        <v>87</v>
      </c>
      <c r="D1" t="s">
        <v>88</v>
      </c>
      <c r="E1" t="s">
        <v>89</v>
      </c>
      <c r="F1" t="s">
        <v>159</v>
      </c>
      <c r="G1" t="s">
        <v>160</v>
      </c>
      <c r="H1" t="s">
        <v>161</v>
      </c>
      <c r="I1" t="s">
        <v>162</v>
      </c>
      <c r="J1" t="s">
        <v>163</v>
      </c>
      <c r="K1" t="s">
        <v>164</v>
      </c>
      <c r="L1" t="s">
        <v>96</v>
      </c>
      <c r="M1" t="s">
        <v>97</v>
      </c>
      <c r="N1" t="s">
        <v>165</v>
      </c>
      <c r="O1" t="s">
        <v>166</v>
      </c>
      <c r="P1" t="s">
        <v>98</v>
      </c>
      <c r="Q1" t="s">
        <v>99</v>
      </c>
      <c r="R1" t="s">
        <v>100</v>
      </c>
      <c r="S1" t="s">
        <v>24</v>
      </c>
      <c r="T1" t="s">
        <v>167</v>
      </c>
      <c r="U1" t="s">
        <v>102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109</v>
      </c>
      <c r="AE1" t="s">
        <v>137</v>
      </c>
      <c r="AF1" t="s">
        <v>112</v>
      </c>
      <c r="AG1" t="s">
        <v>113</v>
      </c>
      <c r="AH1" t="s">
        <v>114</v>
      </c>
      <c r="AI1" t="s">
        <v>121</v>
      </c>
      <c r="AJ1" t="s">
        <v>122</v>
      </c>
      <c r="AK1" t="s">
        <v>123</v>
      </c>
      <c r="AL1" t="s">
        <v>125</v>
      </c>
      <c r="AM1" t="s">
        <v>176</v>
      </c>
      <c r="AN1" t="s">
        <v>177</v>
      </c>
      <c r="AO1" t="s">
        <v>178</v>
      </c>
      <c r="AP1" t="s">
        <v>179</v>
      </c>
      <c r="AQ1" t="s">
        <v>180</v>
      </c>
      <c r="AR1" t="s">
        <v>181</v>
      </c>
      <c r="AS1" t="s">
        <v>135</v>
      </c>
      <c r="AT1" t="s">
        <v>182</v>
      </c>
      <c r="AU1" t="s">
        <v>8</v>
      </c>
      <c r="AV1" t="s">
        <v>9</v>
      </c>
      <c r="AW1" t="s">
        <v>7</v>
      </c>
      <c r="AX1" t="s">
        <v>183</v>
      </c>
      <c r="AY1" t="s">
        <v>184</v>
      </c>
      <c r="AZ1" t="s">
        <v>185</v>
      </c>
      <c r="BA1" t="s">
        <v>186</v>
      </c>
      <c r="BB1" t="s">
        <v>187</v>
      </c>
      <c r="BC1" t="s">
        <v>188</v>
      </c>
      <c r="BD1" t="s">
        <v>189</v>
      </c>
      <c r="BE1" t="s">
        <v>190</v>
      </c>
      <c r="BF1" t="s">
        <v>191</v>
      </c>
      <c r="BG1" t="s">
        <v>192</v>
      </c>
      <c r="BH1" t="s">
        <v>193</v>
      </c>
      <c r="BI1" t="s">
        <v>194</v>
      </c>
      <c r="BJ1" t="s">
        <v>195</v>
      </c>
    </row>
    <row r="2" spans="1:62" x14ac:dyDescent="0.25">
      <c r="A2" t="s">
        <v>12</v>
      </c>
      <c r="B2">
        <v>220</v>
      </c>
      <c r="C2">
        <v>175.73</v>
      </c>
      <c r="D2">
        <v>140</v>
      </c>
      <c r="E2">
        <v>35.72999999999999</v>
      </c>
      <c r="F2">
        <v>0.79877272727272697</v>
      </c>
      <c r="G2">
        <v>0</v>
      </c>
      <c r="H2">
        <v>0</v>
      </c>
      <c r="I2">
        <v>0</v>
      </c>
      <c r="J2">
        <v>0</v>
      </c>
      <c r="K2">
        <v>0</v>
      </c>
      <c r="L2">
        <v>0.99656357388316197</v>
      </c>
      <c r="M2">
        <v>3.4482758620689703E-2</v>
      </c>
      <c r="N2">
        <v>0</v>
      </c>
      <c r="O2">
        <v>0</v>
      </c>
      <c r="P2">
        <v>0.79366072952825395</v>
      </c>
      <c r="Q2">
        <v>0</v>
      </c>
      <c r="R2">
        <v>144.88</v>
      </c>
      <c r="S2">
        <v>0</v>
      </c>
      <c r="T2">
        <v>2694.619999999999</v>
      </c>
      <c r="U2">
        <v>2839.5</v>
      </c>
      <c r="V2">
        <v>175.73</v>
      </c>
      <c r="W2">
        <v>220</v>
      </c>
      <c r="X2">
        <v>0</v>
      </c>
      <c r="Y2">
        <v>0</v>
      </c>
      <c r="Z2">
        <v>175.73</v>
      </c>
      <c r="AA2">
        <v>0</v>
      </c>
      <c r="AB2">
        <v>0</v>
      </c>
      <c r="AC2">
        <v>0</v>
      </c>
      <c r="AD2" s="2">
        <v>45684</v>
      </c>
      <c r="AE2" t="s">
        <v>37</v>
      </c>
      <c r="AF2">
        <v>252</v>
      </c>
      <c r="AG2">
        <v>175.79</v>
      </c>
      <c r="AH2">
        <v>0.06</v>
      </c>
      <c r="AI2">
        <v>95</v>
      </c>
      <c r="AJ2">
        <v>157</v>
      </c>
      <c r="AK2">
        <v>139.47</v>
      </c>
      <c r="AL2">
        <v>36.25</v>
      </c>
      <c r="AM2">
        <v>65.05</v>
      </c>
      <c r="AN2">
        <v>60.090000000000011</v>
      </c>
      <c r="AO2">
        <v>8.23</v>
      </c>
      <c r="AP2">
        <v>290</v>
      </c>
      <c r="AQ2">
        <v>1</v>
      </c>
      <c r="AR2">
        <v>10</v>
      </c>
      <c r="AS2">
        <v>114.75999999999999</v>
      </c>
      <c r="AU2">
        <v>0.1</v>
      </c>
      <c r="AV2">
        <v>0.05</v>
      </c>
      <c r="AW2">
        <v>0.7</v>
      </c>
      <c r="AX2">
        <v>31.5</v>
      </c>
      <c r="AY2">
        <v>41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140</v>
      </c>
      <c r="BI2">
        <v>0</v>
      </c>
      <c r="BJ2">
        <v>2694.619999999999</v>
      </c>
    </row>
    <row r="3" spans="1:62" x14ac:dyDescent="0.25">
      <c r="A3" t="s">
        <v>12</v>
      </c>
      <c r="B3">
        <v>51</v>
      </c>
      <c r="C3">
        <v>50.01</v>
      </c>
      <c r="D3">
        <v>50.01</v>
      </c>
      <c r="E3">
        <v>0</v>
      </c>
      <c r="F3">
        <v>1</v>
      </c>
      <c r="G3">
        <v>1022.3294</v>
      </c>
      <c r="H3">
        <v>0</v>
      </c>
      <c r="I3">
        <v>314.56290000000001</v>
      </c>
      <c r="J3">
        <v>0</v>
      </c>
      <c r="K3">
        <v>0</v>
      </c>
      <c r="L3">
        <v>1</v>
      </c>
      <c r="M3">
        <v>8.8495575221238902E-3</v>
      </c>
      <c r="N3">
        <v>157.28139999999999</v>
      </c>
      <c r="O3">
        <v>0</v>
      </c>
      <c r="P3">
        <v>0.95320935812837404</v>
      </c>
      <c r="Q3">
        <v>78.640699999999995</v>
      </c>
      <c r="R3">
        <v>68</v>
      </c>
      <c r="S3">
        <v>0</v>
      </c>
      <c r="T3">
        <v>0</v>
      </c>
      <c r="U3">
        <v>1640.8144</v>
      </c>
      <c r="V3">
        <v>50.01</v>
      </c>
      <c r="W3">
        <v>50</v>
      </c>
      <c r="X3">
        <v>314.56290000000001</v>
      </c>
      <c r="Y3">
        <v>0</v>
      </c>
      <c r="Z3">
        <v>50.01</v>
      </c>
      <c r="AA3">
        <v>0</v>
      </c>
      <c r="AB3">
        <v>157.28139999999999</v>
      </c>
      <c r="AC3">
        <v>1</v>
      </c>
      <c r="AD3" s="2">
        <v>45684</v>
      </c>
      <c r="AE3" t="s">
        <v>32</v>
      </c>
      <c r="AF3">
        <v>100</v>
      </c>
      <c r="AG3">
        <v>50.01</v>
      </c>
      <c r="AH3">
        <v>0</v>
      </c>
      <c r="AI3">
        <v>14</v>
      </c>
      <c r="AJ3">
        <v>86</v>
      </c>
      <c r="AK3">
        <v>47.67</v>
      </c>
      <c r="AL3">
        <v>2.33</v>
      </c>
      <c r="AM3">
        <v>11.32</v>
      </c>
      <c r="AN3">
        <v>10.94</v>
      </c>
      <c r="AO3">
        <v>2</v>
      </c>
      <c r="AP3">
        <v>113</v>
      </c>
      <c r="AQ3">
        <v>0</v>
      </c>
      <c r="AR3">
        <v>1</v>
      </c>
      <c r="AS3">
        <v>50.01</v>
      </c>
      <c r="AU3">
        <v>0.1</v>
      </c>
      <c r="AV3">
        <v>0.05</v>
      </c>
      <c r="AW3">
        <v>0.7</v>
      </c>
      <c r="AX3">
        <v>31.45</v>
      </c>
      <c r="AY3">
        <v>41.4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70</v>
      </c>
      <c r="BI3">
        <v>0</v>
      </c>
      <c r="BJ3">
        <v>966.23</v>
      </c>
    </row>
    <row r="4" spans="1:62" x14ac:dyDescent="0.25">
      <c r="A4" t="s">
        <v>12</v>
      </c>
      <c r="B4">
        <v>210</v>
      </c>
      <c r="C4">
        <v>204.96999999999997</v>
      </c>
      <c r="D4">
        <v>140</v>
      </c>
      <c r="E4">
        <v>64.96999999999997</v>
      </c>
      <c r="F4">
        <v>0.97604761904761905</v>
      </c>
      <c r="G4">
        <v>2861.95</v>
      </c>
      <c r="H4">
        <v>1748.3426999999999</v>
      </c>
      <c r="I4">
        <v>0</v>
      </c>
      <c r="J4">
        <v>709.27579999999989</v>
      </c>
      <c r="K4">
        <v>0</v>
      </c>
      <c r="L4">
        <v>0.99515738498789397</v>
      </c>
      <c r="M4">
        <v>2.9197080291970798E-2</v>
      </c>
      <c r="N4">
        <v>709.2758</v>
      </c>
      <c r="O4">
        <v>0</v>
      </c>
      <c r="P4">
        <v>0.89032541347514305</v>
      </c>
      <c r="Q4">
        <v>354.6379</v>
      </c>
      <c r="R4">
        <v>159.62</v>
      </c>
      <c r="S4">
        <v>0</v>
      </c>
      <c r="T4">
        <v>0</v>
      </c>
      <c r="U4">
        <v>6543.1022000000003</v>
      </c>
      <c r="V4">
        <v>204.96999999999997</v>
      </c>
      <c r="W4">
        <v>210</v>
      </c>
      <c r="X4">
        <v>709.2758</v>
      </c>
      <c r="Y4">
        <v>1</v>
      </c>
      <c r="Z4">
        <v>204.96999999999997</v>
      </c>
      <c r="AA4">
        <v>0</v>
      </c>
      <c r="AB4">
        <v>709.2758</v>
      </c>
      <c r="AC4">
        <v>0</v>
      </c>
      <c r="AD4" s="2">
        <v>45684</v>
      </c>
      <c r="AE4" t="s">
        <v>34</v>
      </c>
      <c r="AF4">
        <v>343</v>
      </c>
      <c r="AG4">
        <v>210.87</v>
      </c>
      <c r="AH4">
        <v>5.8999999999999995</v>
      </c>
      <c r="AI4">
        <v>84</v>
      </c>
      <c r="AJ4">
        <v>259</v>
      </c>
      <c r="AK4">
        <v>182.49</v>
      </c>
      <c r="AL4">
        <v>22.47</v>
      </c>
      <c r="AM4">
        <v>86.47</v>
      </c>
      <c r="AN4">
        <v>80.09</v>
      </c>
      <c r="AO4">
        <v>11.39</v>
      </c>
      <c r="AP4">
        <v>411</v>
      </c>
      <c r="AQ4">
        <v>1</v>
      </c>
      <c r="AR4">
        <v>12</v>
      </c>
      <c r="AS4">
        <v>127.75999999999999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0</v>
      </c>
      <c r="BJ4">
        <v>3808.4799999999996</v>
      </c>
    </row>
    <row r="5" spans="1:62" x14ac:dyDescent="0.25">
      <c r="A5" t="s">
        <v>12</v>
      </c>
      <c r="B5">
        <v>50</v>
      </c>
      <c r="C5">
        <v>19.919999999999998</v>
      </c>
      <c r="D5">
        <v>19.919999999999998</v>
      </c>
      <c r="E5">
        <v>0</v>
      </c>
      <c r="F5">
        <v>0.39839999999999998</v>
      </c>
      <c r="G5">
        <v>0</v>
      </c>
      <c r="H5">
        <v>0</v>
      </c>
      <c r="I5">
        <v>0</v>
      </c>
      <c r="J5">
        <v>0</v>
      </c>
      <c r="K5">
        <v>0</v>
      </c>
      <c r="L5">
        <v>0.91428571428571404</v>
      </c>
      <c r="M5">
        <v>3.125E-2</v>
      </c>
      <c r="N5">
        <v>0</v>
      </c>
      <c r="O5">
        <v>0</v>
      </c>
      <c r="P5">
        <v>0.88152610441767099</v>
      </c>
      <c r="Q5">
        <v>0</v>
      </c>
      <c r="R5">
        <v>17</v>
      </c>
      <c r="S5">
        <v>0</v>
      </c>
      <c r="T5">
        <v>367.84</v>
      </c>
      <c r="U5">
        <v>384.84</v>
      </c>
      <c r="V5">
        <v>19.919999999999998</v>
      </c>
      <c r="W5">
        <v>50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 s="2">
        <v>45684</v>
      </c>
      <c r="AE5" t="s">
        <v>36</v>
      </c>
      <c r="AF5">
        <v>33</v>
      </c>
      <c r="AG5">
        <v>20.86</v>
      </c>
      <c r="AH5">
        <v>0.94</v>
      </c>
      <c r="AI5">
        <v>8</v>
      </c>
      <c r="AJ5">
        <v>25</v>
      </c>
      <c r="AK5">
        <v>17.559999999999999</v>
      </c>
      <c r="AL5">
        <v>2.35</v>
      </c>
      <c r="AM5">
        <v>11.67</v>
      </c>
      <c r="AN5">
        <v>11.41</v>
      </c>
      <c r="AO5">
        <v>1.58</v>
      </c>
      <c r="AP5">
        <v>32</v>
      </c>
      <c r="AQ5">
        <v>3</v>
      </c>
      <c r="AR5">
        <v>1</v>
      </c>
      <c r="AS5">
        <v>0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19.919999999999998</v>
      </c>
      <c r="BJ5">
        <v>367.84</v>
      </c>
    </row>
    <row r="6" spans="1:62" x14ac:dyDescent="0.25">
      <c r="A6" t="s">
        <v>12</v>
      </c>
      <c r="B6">
        <v>105</v>
      </c>
      <c r="C6">
        <v>108.14000000000001</v>
      </c>
      <c r="D6">
        <v>70</v>
      </c>
      <c r="E6">
        <v>35</v>
      </c>
      <c r="F6">
        <v>1</v>
      </c>
      <c r="G6">
        <v>1433.25</v>
      </c>
      <c r="H6">
        <v>944.125</v>
      </c>
      <c r="I6">
        <v>731.5</v>
      </c>
      <c r="J6">
        <v>0</v>
      </c>
      <c r="K6">
        <v>0</v>
      </c>
      <c r="L6">
        <v>0.875</v>
      </c>
      <c r="M6">
        <v>3.5714285714285698E-2</v>
      </c>
      <c r="N6">
        <v>0</v>
      </c>
      <c r="O6">
        <v>0</v>
      </c>
      <c r="P6">
        <v>0.80895135934899198</v>
      </c>
      <c r="Q6">
        <v>182.875</v>
      </c>
      <c r="R6">
        <v>141</v>
      </c>
      <c r="S6">
        <v>0</v>
      </c>
      <c r="T6">
        <v>0</v>
      </c>
      <c r="U6">
        <v>3432.75</v>
      </c>
      <c r="V6">
        <v>105</v>
      </c>
      <c r="W6">
        <v>100</v>
      </c>
      <c r="X6">
        <v>731.5</v>
      </c>
      <c r="Y6">
        <v>18</v>
      </c>
      <c r="Z6">
        <v>0</v>
      </c>
      <c r="AA6">
        <v>0</v>
      </c>
      <c r="AB6">
        <v>0</v>
      </c>
      <c r="AC6">
        <v>5</v>
      </c>
      <c r="AD6" s="2">
        <v>45684</v>
      </c>
      <c r="AE6" t="s">
        <v>40</v>
      </c>
      <c r="AF6">
        <v>163</v>
      </c>
      <c r="AG6">
        <v>110.18</v>
      </c>
      <c r="AH6">
        <v>2.04</v>
      </c>
      <c r="AI6">
        <v>48</v>
      </c>
      <c r="AJ6">
        <v>115</v>
      </c>
      <c r="AK6">
        <v>87.48</v>
      </c>
      <c r="AL6">
        <v>20.650000000000002</v>
      </c>
      <c r="AM6">
        <v>46.22</v>
      </c>
      <c r="AN6">
        <v>41.47</v>
      </c>
      <c r="AO6">
        <v>4.25</v>
      </c>
      <c r="AP6">
        <v>196</v>
      </c>
      <c r="AQ6">
        <v>10</v>
      </c>
      <c r="AR6">
        <v>7</v>
      </c>
      <c r="AS6">
        <v>0</v>
      </c>
      <c r="AU6">
        <v>0.1</v>
      </c>
      <c r="AV6">
        <v>0.05</v>
      </c>
      <c r="AW6">
        <v>0.7</v>
      </c>
      <c r="AX6">
        <v>31.5</v>
      </c>
      <c r="AY6">
        <v>41.5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105</v>
      </c>
      <c r="BJ6">
        <v>1801.94</v>
      </c>
    </row>
    <row r="7" spans="1:62" x14ac:dyDescent="0.25">
      <c r="A7" t="s">
        <v>13</v>
      </c>
      <c r="B7">
        <v>220</v>
      </c>
      <c r="C7">
        <v>18.04</v>
      </c>
      <c r="D7">
        <v>18.04</v>
      </c>
      <c r="E7">
        <v>0</v>
      </c>
      <c r="F7">
        <v>8.2000000000000003E-2</v>
      </c>
      <c r="G7">
        <v>0</v>
      </c>
      <c r="H7">
        <v>0</v>
      </c>
      <c r="I7">
        <v>0</v>
      </c>
      <c r="J7">
        <v>0</v>
      </c>
      <c r="K7">
        <v>0</v>
      </c>
      <c r="L7">
        <v>0.96428571428571397</v>
      </c>
      <c r="M7">
        <v>7.4074074074074098E-2</v>
      </c>
      <c r="N7">
        <v>0</v>
      </c>
      <c r="O7">
        <v>0</v>
      </c>
      <c r="P7">
        <v>0.93458980044345896</v>
      </c>
      <c r="Q7">
        <v>0</v>
      </c>
      <c r="R7">
        <v>28</v>
      </c>
      <c r="S7">
        <v>0</v>
      </c>
      <c r="T7">
        <v>360.789999999999</v>
      </c>
      <c r="U7">
        <v>388.79</v>
      </c>
      <c r="V7">
        <v>18.04</v>
      </c>
      <c r="W7">
        <v>220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 s="2">
        <v>45691</v>
      </c>
      <c r="AE7" t="s">
        <v>37</v>
      </c>
      <c r="AF7">
        <v>21</v>
      </c>
      <c r="AG7">
        <v>18.04</v>
      </c>
      <c r="AH7">
        <v>0</v>
      </c>
      <c r="AI7">
        <v>11</v>
      </c>
      <c r="AJ7">
        <v>10</v>
      </c>
      <c r="AK7">
        <v>16.86</v>
      </c>
      <c r="AL7">
        <v>1.19</v>
      </c>
      <c r="AM7">
        <v>14.200000000000001</v>
      </c>
      <c r="AN7">
        <v>13.41</v>
      </c>
      <c r="AO7">
        <v>3.38</v>
      </c>
      <c r="AP7">
        <v>27</v>
      </c>
      <c r="AQ7">
        <v>1</v>
      </c>
      <c r="AR7">
        <v>2</v>
      </c>
      <c r="AS7">
        <v>2.0099999999999998</v>
      </c>
      <c r="AU7">
        <v>0.1</v>
      </c>
      <c r="AV7">
        <v>0.05</v>
      </c>
      <c r="AW7">
        <v>0.7</v>
      </c>
      <c r="AX7">
        <v>31.5</v>
      </c>
      <c r="AY7">
        <v>41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140</v>
      </c>
      <c r="BI7">
        <v>18.04</v>
      </c>
      <c r="BJ7">
        <v>360.789999999999</v>
      </c>
    </row>
    <row r="8" spans="1:62" x14ac:dyDescent="0.25">
      <c r="A8" t="s">
        <v>13</v>
      </c>
      <c r="B8">
        <v>51</v>
      </c>
      <c r="C8">
        <v>50.18</v>
      </c>
      <c r="D8">
        <v>50.18</v>
      </c>
      <c r="E8">
        <v>0</v>
      </c>
      <c r="F8">
        <v>1</v>
      </c>
      <c r="G8">
        <v>1025.8045999999999</v>
      </c>
      <c r="H8">
        <v>0</v>
      </c>
      <c r="I8">
        <v>315.63220000000001</v>
      </c>
      <c r="J8">
        <v>0</v>
      </c>
      <c r="K8">
        <v>0</v>
      </c>
      <c r="L8">
        <v>1</v>
      </c>
      <c r="M8">
        <v>8.5470085470085496E-3</v>
      </c>
      <c r="N8">
        <v>157.81610000000001</v>
      </c>
      <c r="O8">
        <v>0</v>
      </c>
      <c r="P8">
        <v>0.94340374651255499</v>
      </c>
      <c r="Q8">
        <v>78.908000000000001</v>
      </c>
      <c r="R8">
        <v>45.99</v>
      </c>
      <c r="S8">
        <v>0</v>
      </c>
      <c r="T8">
        <v>0</v>
      </c>
      <c r="U8">
        <v>1624.1510000000001</v>
      </c>
      <c r="V8">
        <v>50.18</v>
      </c>
      <c r="W8">
        <v>50</v>
      </c>
      <c r="X8">
        <v>315.63220000000001</v>
      </c>
      <c r="Y8">
        <v>0</v>
      </c>
      <c r="Z8">
        <v>50.18</v>
      </c>
      <c r="AA8">
        <v>0</v>
      </c>
      <c r="AB8">
        <v>157.81610000000001</v>
      </c>
      <c r="AC8">
        <v>1</v>
      </c>
      <c r="AD8" s="2">
        <v>45691</v>
      </c>
      <c r="AE8" t="s">
        <v>32</v>
      </c>
      <c r="AF8">
        <v>97</v>
      </c>
      <c r="AG8">
        <v>50.18</v>
      </c>
      <c r="AH8">
        <v>0</v>
      </c>
      <c r="AI8">
        <v>16</v>
      </c>
      <c r="AJ8">
        <v>81</v>
      </c>
      <c r="AK8">
        <v>47.34</v>
      </c>
      <c r="AL8">
        <v>2.84</v>
      </c>
      <c r="AM8">
        <v>14.88</v>
      </c>
      <c r="AN8">
        <v>14.75</v>
      </c>
      <c r="AO8">
        <v>1.93</v>
      </c>
      <c r="AP8">
        <v>117</v>
      </c>
      <c r="AQ8">
        <v>0</v>
      </c>
      <c r="AR8">
        <v>1</v>
      </c>
      <c r="AS8">
        <v>50.18</v>
      </c>
      <c r="AU8">
        <v>0.1</v>
      </c>
      <c r="AV8">
        <v>0.05</v>
      </c>
      <c r="AW8">
        <v>0.7</v>
      </c>
      <c r="AX8">
        <v>31.45</v>
      </c>
      <c r="AY8">
        <v>41.4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70</v>
      </c>
      <c r="BI8">
        <v>0</v>
      </c>
      <c r="BJ8">
        <v>928.48999999999899</v>
      </c>
    </row>
    <row r="9" spans="1:62" x14ac:dyDescent="0.25">
      <c r="A9" t="s">
        <v>13</v>
      </c>
      <c r="B9">
        <v>230</v>
      </c>
      <c r="C9">
        <v>214.11</v>
      </c>
      <c r="D9">
        <v>140</v>
      </c>
      <c r="E9">
        <v>74.110000000000014</v>
      </c>
      <c r="F9">
        <v>1</v>
      </c>
      <c r="G9">
        <v>2861.95</v>
      </c>
      <c r="H9">
        <v>1994.3000999999999</v>
      </c>
      <c r="I9">
        <v>1494.2308</v>
      </c>
      <c r="J9">
        <v>0</v>
      </c>
      <c r="K9">
        <v>0</v>
      </c>
      <c r="L9">
        <v>0.99716713881019803</v>
      </c>
      <c r="M9">
        <v>3.4090909090909102E-2</v>
      </c>
      <c r="N9">
        <v>747.11540000000002</v>
      </c>
      <c r="O9">
        <v>0</v>
      </c>
      <c r="P9">
        <v>0.88066881509504502</v>
      </c>
      <c r="Q9">
        <v>373.55770000000001</v>
      </c>
      <c r="R9">
        <v>203.26</v>
      </c>
      <c r="S9">
        <v>0</v>
      </c>
      <c r="T9">
        <v>0</v>
      </c>
      <c r="U9">
        <v>7674.4139999999998</v>
      </c>
      <c r="V9">
        <v>214.11</v>
      </c>
      <c r="W9">
        <v>210</v>
      </c>
      <c r="X9">
        <v>1494.2308</v>
      </c>
      <c r="Y9">
        <v>0</v>
      </c>
      <c r="Z9">
        <v>214.11</v>
      </c>
      <c r="AA9">
        <v>0</v>
      </c>
      <c r="AB9">
        <v>747.11540000000002</v>
      </c>
      <c r="AC9">
        <v>20</v>
      </c>
      <c r="AD9" s="2">
        <v>45691</v>
      </c>
      <c r="AE9" t="s">
        <v>34</v>
      </c>
      <c r="AF9">
        <v>297</v>
      </c>
      <c r="AG9">
        <v>221.81</v>
      </c>
      <c r="AH9">
        <v>7.6999999999999993</v>
      </c>
      <c r="AI9">
        <v>87</v>
      </c>
      <c r="AJ9">
        <v>210</v>
      </c>
      <c r="AK9">
        <v>188.56000000000003</v>
      </c>
      <c r="AL9">
        <v>25.560000000000002</v>
      </c>
      <c r="AM9">
        <v>95.97999999999999</v>
      </c>
      <c r="AN9">
        <v>91.43</v>
      </c>
      <c r="AO9">
        <v>8.4500000000000011</v>
      </c>
      <c r="AP9">
        <v>352</v>
      </c>
      <c r="AQ9">
        <v>1</v>
      </c>
      <c r="AR9">
        <v>12</v>
      </c>
      <c r="AS9">
        <v>189.10000000000002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0</v>
      </c>
      <c r="BJ9">
        <v>4038.7099999999991</v>
      </c>
    </row>
    <row r="10" spans="1:62" x14ac:dyDescent="0.25">
      <c r="A10" t="s">
        <v>13</v>
      </c>
      <c r="B10">
        <v>50</v>
      </c>
      <c r="C10">
        <v>50.31</v>
      </c>
      <c r="D10">
        <v>50</v>
      </c>
      <c r="E10">
        <v>0</v>
      </c>
      <c r="F10">
        <v>1</v>
      </c>
      <c r="G10">
        <v>1022.125</v>
      </c>
      <c r="H10">
        <v>0</v>
      </c>
      <c r="I10">
        <v>314.5</v>
      </c>
      <c r="J10">
        <v>0</v>
      </c>
      <c r="K10">
        <v>0</v>
      </c>
      <c r="L10">
        <v>0.92708333333333404</v>
      </c>
      <c r="M10">
        <v>2.2471910112359599E-2</v>
      </c>
      <c r="N10">
        <v>0</v>
      </c>
      <c r="O10">
        <v>78.625</v>
      </c>
      <c r="P10">
        <v>0.95587358378055998</v>
      </c>
      <c r="Q10">
        <v>78.625</v>
      </c>
      <c r="R10">
        <v>58.88</v>
      </c>
      <c r="S10">
        <v>0</v>
      </c>
      <c r="T10">
        <v>0</v>
      </c>
      <c r="U10">
        <v>1552.7550000000001</v>
      </c>
      <c r="V10">
        <v>50</v>
      </c>
      <c r="W10">
        <v>50</v>
      </c>
      <c r="X10">
        <v>314.5</v>
      </c>
      <c r="Y10">
        <v>0</v>
      </c>
      <c r="Z10">
        <v>0</v>
      </c>
      <c r="AA10">
        <v>50</v>
      </c>
      <c r="AB10">
        <v>78.625</v>
      </c>
      <c r="AC10">
        <v>0</v>
      </c>
      <c r="AD10" s="2">
        <v>45691</v>
      </c>
      <c r="AE10" t="s">
        <v>36</v>
      </c>
      <c r="AF10">
        <v>84</v>
      </c>
      <c r="AG10">
        <v>50.32</v>
      </c>
      <c r="AH10">
        <v>0.01</v>
      </c>
      <c r="AI10">
        <v>22</v>
      </c>
      <c r="AJ10">
        <v>62</v>
      </c>
      <c r="AK10">
        <v>48.09</v>
      </c>
      <c r="AL10">
        <v>2.21</v>
      </c>
      <c r="AM10">
        <v>21.28</v>
      </c>
      <c r="AN10">
        <v>20.53</v>
      </c>
      <c r="AO10">
        <v>1.67</v>
      </c>
      <c r="AP10">
        <v>89</v>
      </c>
      <c r="AQ10">
        <v>7</v>
      </c>
      <c r="AR10">
        <v>2</v>
      </c>
      <c r="AS10">
        <v>0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0</v>
      </c>
      <c r="BJ10">
        <v>1059.1699999999901</v>
      </c>
    </row>
    <row r="11" spans="1:62" x14ac:dyDescent="0.25">
      <c r="A11" t="s">
        <v>13</v>
      </c>
      <c r="B11">
        <v>191</v>
      </c>
      <c r="C11">
        <v>181.83</v>
      </c>
      <c r="D11">
        <v>70</v>
      </c>
      <c r="E11">
        <v>111.83000000000001</v>
      </c>
      <c r="F11">
        <v>0.98286486486486502</v>
      </c>
      <c r="G11">
        <v>1433.25</v>
      </c>
      <c r="H11">
        <v>3016.6142</v>
      </c>
      <c r="I11">
        <v>1369.1890000000003</v>
      </c>
      <c r="J11">
        <v>0</v>
      </c>
      <c r="K11">
        <v>0</v>
      </c>
      <c r="L11">
        <v>0.74879227053140096</v>
      </c>
      <c r="M11">
        <v>3.8709677419354799E-2</v>
      </c>
      <c r="N11">
        <v>0</v>
      </c>
      <c r="O11">
        <v>0</v>
      </c>
      <c r="P11">
        <v>0.82071165374250699</v>
      </c>
      <c r="Q11">
        <v>342.29719999999998</v>
      </c>
      <c r="R11">
        <v>173.01</v>
      </c>
      <c r="S11">
        <v>0</v>
      </c>
      <c r="T11">
        <v>0</v>
      </c>
      <c r="U11">
        <v>6334.3604999999998</v>
      </c>
      <c r="V11">
        <v>181.83</v>
      </c>
      <c r="W11">
        <v>185</v>
      </c>
      <c r="X11">
        <v>1369.1890000000001</v>
      </c>
      <c r="Y11">
        <v>17</v>
      </c>
      <c r="Z11">
        <v>0</v>
      </c>
      <c r="AA11">
        <v>0</v>
      </c>
      <c r="AB11">
        <v>0</v>
      </c>
      <c r="AC11">
        <v>6</v>
      </c>
      <c r="AD11" s="2">
        <v>45691</v>
      </c>
      <c r="AE11" t="s">
        <v>40</v>
      </c>
      <c r="AF11">
        <v>279</v>
      </c>
      <c r="AG11">
        <v>182.29999999999998</v>
      </c>
      <c r="AH11">
        <v>0.47000000000000003</v>
      </c>
      <c r="AI11">
        <v>80</v>
      </c>
      <c r="AJ11">
        <v>199</v>
      </c>
      <c r="AK11">
        <v>149.23000000000002</v>
      </c>
      <c r="AL11">
        <v>32.6</v>
      </c>
      <c r="AM11">
        <v>76.960000000000008</v>
      </c>
      <c r="AN11">
        <v>67.930000000000007</v>
      </c>
      <c r="AO11">
        <v>6.3900000000000006</v>
      </c>
      <c r="AP11">
        <v>310</v>
      </c>
      <c r="AQ11">
        <v>87</v>
      </c>
      <c r="AR11">
        <v>12</v>
      </c>
      <c r="AS11">
        <v>35.450000000000003</v>
      </c>
      <c r="AU11">
        <v>0.1</v>
      </c>
      <c r="AV11">
        <v>0.05</v>
      </c>
      <c r="AW11">
        <v>0.7</v>
      </c>
      <c r="AX11">
        <v>31.5</v>
      </c>
      <c r="AY11">
        <v>41.5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181.83</v>
      </c>
      <c r="BJ11">
        <v>3087.2199999999989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60"/>
  <sheetViews>
    <sheetView workbookViewId="0">
      <selection activeCell="C60" sqref="C60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137</v>
      </c>
      <c r="B1" t="s">
        <v>196</v>
      </c>
      <c r="C1" t="s">
        <v>197</v>
      </c>
      <c r="D1" t="s">
        <v>198</v>
      </c>
    </row>
    <row r="2" spans="1:4" hidden="1" x14ac:dyDescent="0.25">
      <c r="A2" t="s">
        <v>32</v>
      </c>
      <c r="B2" t="s">
        <v>142</v>
      </c>
    </row>
    <row r="3" spans="1:4" hidden="1" x14ac:dyDescent="0.25">
      <c r="A3" t="s">
        <v>32</v>
      </c>
      <c r="B3" t="s">
        <v>199</v>
      </c>
    </row>
    <row r="4" spans="1:4" hidden="1" x14ac:dyDescent="0.25">
      <c r="A4" t="s">
        <v>34</v>
      </c>
      <c r="B4" t="s">
        <v>145</v>
      </c>
    </row>
    <row r="5" spans="1:4" hidden="1" x14ac:dyDescent="0.25">
      <c r="A5" t="s">
        <v>34</v>
      </c>
      <c r="B5" t="s">
        <v>144</v>
      </c>
    </row>
    <row r="6" spans="1:4" hidden="1" x14ac:dyDescent="0.25">
      <c r="A6" t="s">
        <v>34</v>
      </c>
      <c r="B6" t="s">
        <v>148</v>
      </c>
    </row>
    <row r="7" spans="1:4" hidden="1" x14ac:dyDescent="0.25">
      <c r="A7" t="s">
        <v>34</v>
      </c>
      <c r="B7" t="s">
        <v>152</v>
      </c>
    </row>
    <row r="8" spans="1:4" hidden="1" x14ac:dyDescent="0.25">
      <c r="A8" t="s">
        <v>34</v>
      </c>
      <c r="B8" t="s">
        <v>155</v>
      </c>
    </row>
    <row r="9" spans="1:4" hidden="1" x14ac:dyDescent="0.25">
      <c r="A9" t="s">
        <v>34</v>
      </c>
      <c r="B9" t="s">
        <v>200</v>
      </c>
    </row>
    <row r="10" spans="1:4" hidden="1" x14ac:dyDescent="0.25">
      <c r="A10" t="s">
        <v>34</v>
      </c>
      <c r="B10" t="s">
        <v>156</v>
      </c>
    </row>
    <row r="11" spans="1:4" hidden="1" x14ac:dyDescent="0.25">
      <c r="A11" t="s">
        <v>34</v>
      </c>
      <c r="B11" t="s">
        <v>201</v>
      </c>
    </row>
    <row r="12" spans="1:4" hidden="1" x14ac:dyDescent="0.25">
      <c r="A12" t="s">
        <v>34</v>
      </c>
      <c r="B12" t="s">
        <v>202</v>
      </c>
    </row>
    <row r="13" spans="1:4" hidden="1" x14ac:dyDescent="0.25">
      <c r="A13" t="s">
        <v>34</v>
      </c>
      <c r="B13" t="s">
        <v>203</v>
      </c>
    </row>
    <row r="14" spans="1:4" hidden="1" x14ac:dyDescent="0.25">
      <c r="A14" t="s">
        <v>34</v>
      </c>
      <c r="B14" t="s">
        <v>141</v>
      </c>
    </row>
    <row r="15" spans="1:4" hidden="1" x14ac:dyDescent="0.25">
      <c r="A15" t="s">
        <v>34</v>
      </c>
      <c r="B15" t="s">
        <v>204</v>
      </c>
    </row>
    <row r="16" spans="1:4" hidden="1" x14ac:dyDescent="0.25">
      <c r="A16" t="s">
        <v>34</v>
      </c>
      <c r="B16" t="s">
        <v>205</v>
      </c>
    </row>
    <row r="17" spans="1:2" hidden="1" x14ac:dyDescent="0.25">
      <c r="A17" t="s">
        <v>34</v>
      </c>
      <c r="B17" t="s">
        <v>206</v>
      </c>
    </row>
    <row r="18" spans="1:2" hidden="1" x14ac:dyDescent="0.25">
      <c r="A18" t="s">
        <v>34</v>
      </c>
      <c r="B18" t="s">
        <v>207</v>
      </c>
    </row>
    <row r="19" spans="1:2" hidden="1" x14ac:dyDescent="0.25">
      <c r="A19" t="s">
        <v>37</v>
      </c>
      <c r="B19" t="s">
        <v>208</v>
      </c>
    </row>
    <row r="20" spans="1:2" hidden="1" x14ac:dyDescent="0.25">
      <c r="A20" t="s">
        <v>37</v>
      </c>
      <c r="B20" t="s">
        <v>209</v>
      </c>
    </row>
    <row r="21" spans="1:2" hidden="1" x14ac:dyDescent="0.25">
      <c r="A21" t="s">
        <v>37</v>
      </c>
      <c r="B21" t="s">
        <v>210</v>
      </c>
    </row>
    <row r="22" spans="1:2" hidden="1" x14ac:dyDescent="0.25">
      <c r="A22" t="s">
        <v>37</v>
      </c>
      <c r="B22" t="s">
        <v>211</v>
      </c>
    </row>
    <row r="23" spans="1:2" hidden="1" x14ac:dyDescent="0.25">
      <c r="A23" t="s">
        <v>37</v>
      </c>
      <c r="B23" t="s">
        <v>157</v>
      </c>
    </row>
    <row r="24" spans="1:2" hidden="1" x14ac:dyDescent="0.25">
      <c r="A24" t="s">
        <v>37</v>
      </c>
      <c r="B24" t="s">
        <v>212</v>
      </c>
    </row>
    <row r="25" spans="1:2" hidden="1" x14ac:dyDescent="0.25">
      <c r="A25" t="s">
        <v>37</v>
      </c>
      <c r="B25" t="s">
        <v>151</v>
      </c>
    </row>
    <row r="26" spans="1:2" hidden="1" x14ac:dyDescent="0.25">
      <c r="A26" t="s">
        <v>37</v>
      </c>
      <c r="B26" t="s">
        <v>140</v>
      </c>
    </row>
    <row r="27" spans="1:2" hidden="1" x14ac:dyDescent="0.25">
      <c r="A27" t="s">
        <v>37</v>
      </c>
      <c r="B27" t="s">
        <v>213</v>
      </c>
    </row>
    <row r="28" spans="1:2" hidden="1" x14ac:dyDescent="0.25">
      <c r="A28" t="s">
        <v>37</v>
      </c>
      <c r="B28" t="s">
        <v>146</v>
      </c>
    </row>
    <row r="29" spans="1:2" hidden="1" x14ac:dyDescent="0.25">
      <c r="A29" t="s">
        <v>37</v>
      </c>
      <c r="B29" t="s">
        <v>149</v>
      </c>
    </row>
    <row r="30" spans="1:2" hidden="1" x14ac:dyDescent="0.25">
      <c r="A30" t="s">
        <v>37</v>
      </c>
      <c r="B30" t="s">
        <v>143</v>
      </c>
    </row>
    <row r="31" spans="1:2" hidden="1" x14ac:dyDescent="0.25">
      <c r="A31" t="s">
        <v>37</v>
      </c>
      <c r="B31" t="s">
        <v>214</v>
      </c>
    </row>
    <row r="32" spans="1:2" hidden="1" x14ac:dyDescent="0.25">
      <c r="A32" t="s">
        <v>37</v>
      </c>
      <c r="B32" t="s">
        <v>215</v>
      </c>
    </row>
    <row r="33" spans="1:2" hidden="1" x14ac:dyDescent="0.25">
      <c r="A33" t="s">
        <v>37</v>
      </c>
      <c r="B33" t="s">
        <v>216</v>
      </c>
    </row>
    <row r="34" spans="1:2" hidden="1" x14ac:dyDescent="0.25">
      <c r="A34" t="s">
        <v>37</v>
      </c>
      <c r="B34" t="s">
        <v>217</v>
      </c>
    </row>
    <row r="35" spans="1:2" hidden="1" x14ac:dyDescent="0.25">
      <c r="A35" t="s">
        <v>37</v>
      </c>
      <c r="B35" t="s">
        <v>218</v>
      </c>
    </row>
    <row r="36" spans="1:2" hidden="1" x14ac:dyDescent="0.25">
      <c r="A36" t="s">
        <v>37</v>
      </c>
      <c r="B36" t="s">
        <v>219</v>
      </c>
    </row>
    <row r="37" spans="1:2" hidden="1" x14ac:dyDescent="0.25">
      <c r="A37" t="s">
        <v>37</v>
      </c>
      <c r="B37" t="s">
        <v>220</v>
      </c>
    </row>
    <row r="38" spans="1:2" hidden="1" x14ac:dyDescent="0.25">
      <c r="A38" t="s">
        <v>37</v>
      </c>
      <c r="B38" t="s">
        <v>221</v>
      </c>
    </row>
    <row r="39" spans="1:2" hidden="1" x14ac:dyDescent="0.25">
      <c r="A39" t="s">
        <v>37</v>
      </c>
      <c r="B39" t="s">
        <v>222</v>
      </c>
    </row>
    <row r="40" spans="1:2" hidden="1" x14ac:dyDescent="0.25">
      <c r="A40" t="s">
        <v>37</v>
      </c>
      <c r="B40" t="s">
        <v>223</v>
      </c>
    </row>
    <row r="41" spans="1:2" hidden="1" x14ac:dyDescent="0.25">
      <c r="A41" t="s">
        <v>34</v>
      </c>
      <c r="B41" t="s">
        <v>139</v>
      </c>
    </row>
    <row r="42" spans="1:2" hidden="1" x14ac:dyDescent="0.25">
      <c r="A42" t="s">
        <v>40</v>
      </c>
      <c r="B42" t="s">
        <v>147</v>
      </c>
    </row>
    <row r="43" spans="1:2" hidden="1" x14ac:dyDescent="0.25">
      <c r="A43" t="s">
        <v>40</v>
      </c>
      <c r="B43" t="s">
        <v>224</v>
      </c>
    </row>
    <row r="44" spans="1:2" hidden="1" x14ac:dyDescent="0.25">
      <c r="A44" t="s">
        <v>40</v>
      </c>
      <c r="B44" t="s">
        <v>225</v>
      </c>
    </row>
    <row r="45" spans="1:2" hidden="1" x14ac:dyDescent="0.25">
      <c r="A45" t="s">
        <v>40</v>
      </c>
      <c r="B45" t="s">
        <v>226</v>
      </c>
    </row>
    <row r="46" spans="1:2" hidden="1" x14ac:dyDescent="0.25">
      <c r="A46" t="s">
        <v>40</v>
      </c>
      <c r="B46" t="s">
        <v>227</v>
      </c>
    </row>
    <row r="47" spans="1:2" hidden="1" x14ac:dyDescent="0.25">
      <c r="A47" t="s">
        <v>40</v>
      </c>
      <c r="B47" t="s">
        <v>154</v>
      </c>
    </row>
    <row r="48" spans="1:2" hidden="1" x14ac:dyDescent="0.25">
      <c r="A48" t="s">
        <v>40</v>
      </c>
      <c r="B48" t="s">
        <v>228</v>
      </c>
    </row>
    <row r="49" spans="1:2" hidden="1" x14ac:dyDescent="0.25">
      <c r="A49" t="s">
        <v>40</v>
      </c>
      <c r="B49" t="s">
        <v>229</v>
      </c>
    </row>
    <row r="50" spans="1:2" hidden="1" x14ac:dyDescent="0.25">
      <c r="A50" t="s">
        <v>40</v>
      </c>
      <c r="B50" t="s">
        <v>230</v>
      </c>
    </row>
    <row r="51" spans="1:2" hidden="1" x14ac:dyDescent="0.25">
      <c r="A51" t="s">
        <v>32</v>
      </c>
      <c r="B51" t="s">
        <v>231</v>
      </c>
    </row>
    <row r="52" spans="1:2" hidden="1" x14ac:dyDescent="0.25">
      <c r="A52" t="s">
        <v>36</v>
      </c>
      <c r="B52" t="s">
        <v>232</v>
      </c>
    </row>
    <row r="53" spans="1:2" hidden="1" x14ac:dyDescent="0.25">
      <c r="A53" t="s">
        <v>34</v>
      </c>
      <c r="B53" t="s">
        <v>233</v>
      </c>
    </row>
    <row r="54" spans="1:2" hidden="1" x14ac:dyDescent="0.25">
      <c r="A54" t="s">
        <v>34</v>
      </c>
      <c r="B54" t="s">
        <v>234</v>
      </c>
    </row>
    <row r="55" spans="1:2" hidden="1" x14ac:dyDescent="0.25">
      <c r="A55" t="s">
        <v>36</v>
      </c>
      <c r="B55" t="s">
        <v>158</v>
      </c>
    </row>
    <row r="56" spans="1:2" hidden="1" x14ac:dyDescent="0.25">
      <c r="A56" t="s">
        <v>37</v>
      </c>
      <c r="B56" t="s">
        <v>138</v>
      </c>
    </row>
    <row r="57" spans="1:2" hidden="1" x14ac:dyDescent="0.25">
      <c r="A57" t="s">
        <v>36</v>
      </c>
      <c r="B57" t="s">
        <v>150</v>
      </c>
    </row>
    <row r="58" spans="1:2" hidden="1" x14ac:dyDescent="0.25">
      <c r="A58" t="s">
        <v>34</v>
      </c>
      <c r="B58" t="s">
        <v>153</v>
      </c>
    </row>
    <row r="59" spans="1:2" hidden="1" x14ac:dyDescent="0.25">
      <c r="A59" t="s">
        <v>40</v>
      </c>
      <c r="B59" t="s">
        <v>294</v>
      </c>
    </row>
    <row r="60" spans="1:2" hidden="1" x14ac:dyDescent="0.25">
      <c r="A60" t="s">
        <v>40</v>
      </c>
      <c r="B60" t="s">
        <v>343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27" t="s">
        <v>36</v>
      </c>
      <c r="C2" s="127"/>
      <c r="D2" s="127"/>
      <c r="E2" s="127"/>
      <c r="F2" s="127"/>
      <c r="H2" s="28" t="s">
        <v>75</v>
      </c>
      <c r="I2" s="29">
        <v>1083.23</v>
      </c>
      <c r="M2" s="8"/>
      <c r="V2" s="8"/>
      <c r="W2" s="95"/>
      <c r="X2" s="95" t="s">
        <v>76</v>
      </c>
      <c r="AA2" s="137" t="s">
        <v>77</v>
      </c>
      <c r="AB2" s="137"/>
      <c r="AC2" s="6"/>
      <c r="AD2" s="141" t="s">
        <v>79</v>
      </c>
      <c r="AE2" s="141"/>
      <c r="AF2" s="6"/>
      <c r="AG2" s="141"/>
      <c r="AH2" s="141"/>
      <c r="AK2" s="64"/>
      <c r="AL2" s="62" t="s">
        <v>78</v>
      </c>
      <c r="AM2" s="6"/>
      <c r="AO2" s="137" t="s">
        <v>79</v>
      </c>
      <c r="AP2" s="137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80</v>
      </c>
      <c r="Y3" s="94">
        <v>0</v>
      </c>
      <c r="AA3" s="9" t="s">
        <v>55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31" t="s">
        <v>82</v>
      </c>
      <c r="K4" s="132"/>
      <c r="L4" s="133"/>
      <c r="M4" s="128" t="s">
        <v>83</v>
      </c>
      <c r="N4" s="129"/>
      <c r="O4" s="129"/>
      <c r="P4" s="130"/>
      <c r="W4" s="14"/>
      <c r="X4" s="22" t="s">
        <v>84</v>
      </c>
      <c r="Y4" s="94">
        <v>0</v>
      </c>
      <c r="AA4" s="9" t="s">
        <v>17</v>
      </c>
      <c r="AB4" s="10">
        <v>618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85</v>
      </c>
      <c r="C5" s="24" t="s">
        <v>86</v>
      </c>
      <c r="D5" s="71" t="s">
        <v>87</v>
      </c>
      <c r="E5" s="71" t="s">
        <v>88</v>
      </c>
      <c r="F5" s="71" t="s">
        <v>89</v>
      </c>
      <c r="G5" s="70" t="s">
        <v>90</v>
      </c>
      <c r="H5" s="70" t="s">
        <v>91</v>
      </c>
      <c r="I5" s="77" t="s">
        <v>92</v>
      </c>
      <c r="J5" s="77" t="s">
        <v>93</v>
      </c>
      <c r="K5" s="77" t="s">
        <v>94</v>
      </c>
      <c r="L5" s="77" t="s">
        <v>95</v>
      </c>
      <c r="M5" s="77" t="s">
        <v>96</v>
      </c>
      <c r="N5" s="24" t="s">
        <v>97</v>
      </c>
      <c r="O5" s="24" t="s">
        <v>94</v>
      </c>
      <c r="P5" s="77" t="s">
        <v>95</v>
      </c>
      <c r="Q5" s="77" t="s">
        <v>98</v>
      </c>
      <c r="R5" s="77" t="s">
        <v>99</v>
      </c>
      <c r="S5" s="77" t="s">
        <v>100</v>
      </c>
      <c r="T5" s="77" t="s">
        <v>24</v>
      </c>
      <c r="U5" s="77" t="s">
        <v>101</v>
      </c>
      <c r="V5" s="8" t="s">
        <v>102</v>
      </c>
      <c r="W5" s="14"/>
      <c r="X5" s="23" t="s">
        <v>54</v>
      </c>
      <c r="Y5" s="94">
        <v>0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60</v>
      </c>
      <c r="D6" s="4">
        <v>25.8</v>
      </c>
      <c r="E6" s="4">
        <v>25.8</v>
      </c>
      <c r="F6" s="4">
        <v>0</v>
      </c>
      <c r="G6" s="67">
        <v>0.43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1</v>
      </c>
      <c r="N6" s="87">
        <v>1.4084507042253501E-2</v>
      </c>
      <c r="O6" s="8">
        <v>0</v>
      </c>
      <c r="P6" s="74">
        <v>0</v>
      </c>
      <c r="Q6" s="87">
        <v>0.95736434108527102</v>
      </c>
      <c r="R6" s="8">
        <v>0</v>
      </c>
      <c r="S6" s="8">
        <v>34.21</v>
      </c>
      <c r="T6" s="8">
        <v>0</v>
      </c>
      <c r="U6" s="8">
        <v>611.37</v>
      </c>
      <c r="V6" s="8">
        <v>645.58000000000004</v>
      </c>
      <c r="W6" s="51"/>
      <c r="X6" s="52" t="s">
        <v>103</v>
      </c>
      <c r="Y6" s="94">
        <v>0</v>
      </c>
      <c r="AA6" s="11" t="s">
        <v>30</v>
      </c>
      <c r="AB6" s="12">
        <v>0</v>
      </c>
      <c r="AC6" s="6"/>
      <c r="AD6" s="6" t="s">
        <v>104</v>
      </c>
      <c r="AE6" s="94">
        <v>0</v>
      </c>
      <c r="AF6" s="6"/>
      <c r="AG6" s="6"/>
      <c r="AL6" s="6"/>
      <c r="AM6" s="6"/>
      <c r="AO6" s="11" t="s">
        <v>104</v>
      </c>
      <c r="AP6" s="12">
        <f>SUMIF(Deduction_and_other_Revenue[PARTNER],$B$2,Deduction_and_other_Revenue[Violation])</f>
        <v>0</v>
      </c>
      <c r="AQ6" s="8"/>
      <c r="AU6" s="6"/>
    </row>
    <row r="7" spans="2:47" ht="15.75" thickBot="1" x14ac:dyDescent="0.3">
      <c r="B7" s="7" t="s">
        <v>13</v>
      </c>
      <c r="C7" s="69">
        <v>60</v>
      </c>
      <c r="D7" s="4">
        <v>50.050000000000004</v>
      </c>
      <c r="E7" s="4">
        <v>50.050000000000004</v>
      </c>
      <c r="F7" s="4">
        <v>0</v>
      </c>
      <c r="G7" s="67">
        <v>0.83416666666666694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0.98936170212765995</v>
      </c>
      <c r="N7" s="87">
        <v>1.0752688172042999E-2</v>
      </c>
      <c r="O7" s="8">
        <v>0</v>
      </c>
      <c r="P7" s="74">
        <v>0</v>
      </c>
      <c r="Q7" s="87">
        <v>0.87672327672327699</v>
      </c>
      <c r="R7" s="8">
        <v>0</v>
      </c>
      <c r="S7" s="8">
        <v>52</v>
      </c>
      <c r="T7" s="8">
        <v>0</v>
      </c>
      <c r="U7" s="8">
        <v>1003.65</v>
      </c>
      <c r="V7" s="8">
        <v>1055.6500000000001</v>
      </c>
      <c r="W7" s="8"/>
      <c r="X7" s="8"/>
      <c r="Y7" s="15"/>
      <c r="AA7" s="9" t="s">
        <v>77</v>
      </c>
      <c r="AB7" s="10">
        <v>618</v>
      </c>
      <c r="AC7" s="6"/>
      <c r="AD7" s="6" t="s">
        <v>30</v>
      </c>
      <c r="AE7" s="94">
        <v>0</v>
      </c>
      <c r="AF7" s="6"/>
      <c r="AG7" s="6"/>
      <c r="AL7" s="6"/>
      <c r="AM7" s="6"/>
      <c r="AO7" s="9" t="s">
        <v>30</v>
      </c>
      <c r="AP7" s="10">
        <f>SUM(AP3:AP6)</f>
        <v>0</v>
      </c>
      <c r="AQ7" s="8"/>
      <c r="AU7" s="6"/>
    </row>
    <row r="8" spans="2:47" x14ac:dyDescent="0.25">
      <c r="B8" s="25" t="s">
        <v>105</v>
      </c>
      <c r="C8" s="76">
        <v>120</v>
      </c>
      <c r="D8" s="26">
        <v>75.850000000000009</v>
      </c>
      <c r="E8" s="26">
        <v>75.850000000000009</v>
      </c>
      <c r="F8" s="26">
        <v>0</v>
      </c>
      <c r="G8" s="76"/>
      <c r="H8" s="86">
        <v>0</v>
      </c>
      <c r="I8" s="27">
        <v>0</v>
      </c>
      <c r="J8" s="27">
        <v>0</v>
      </c>
      <c r="K8" s="27">
        <v>0</v>
      </c>
      <c r="L8" s="27">
        <v>0</v>
      </c>
      <c r="M8" s="26"/>
      <c r="N8" s="88"/>
      <c r="O8" s="27">
        <v>0</v>
      </c>
      <c r="P8" s="27">
        <v>0</v>
      </c>
      <c r="Q8" s="88"/>
      <c r="R8" s="27">
        <v>0</v>
      </c>
      <c r="S8" s="27">
        <v>86.21</v>
      </c>
      <c r="T8" s="27">
        <v>0</v>
      </c>
      <c r="U8" s="27">
        <v>1615.02</v>
      </c>
      <c r="V8" s="8">
        <v>1701.23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34" t="s">
        <v>106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6"/>
      <c r="M10" s="6"/>
      <c r="N10" s="6"/>
      <c r="O10" s="6"/>
      <c r="P10" s="6"/>
      <c r="Q10" s="6"/>
      <c r="R10" s="6"/>
      <c r="S10" s="6"/>
      <c r="T10" s="6"/>
      <c r="U10" s="6"/>
      <c r="W10" s="138"/>
      <c r="X10" s="139"/>
      <c r="Y10" s="139"/>
      <c r="Z10" s="139"/>
      <c r="AA10" s="139"/>
      <c r="AB10" s="139"/>
      <c r="AC10" s="139"/>
      <c r="AD10" s="139"/>
      <c r="AE10" s="139"/>
      <c r="AF10" s="139"/>
      <c r="AG10" s="139"/>
      <c r="AH10" s="139"/>
      <c r="AI10" s="140"/>
      <c r="AK10" s="138"/>
      <c r="AL10" s="139"/>
      <c r="AM10" s="139"/>
      <c r="AP10" s="138" t="s">
        <v>108</v>
      </c>
      <c r="AQ10" s="139"/>
      <c r="AR10" s="139"/>
      <c r="AS10" s="139"/>
      <c r="AT10" s="139"/>
      <c r="AU10" s="140"/>
    </row>
    <row r="11" spans="2:47" ht="45.75" thickBot="1" x14ac:dyDescent="0.3">
      <c r="B11" s="78" t="s">
        <v>109</v>
      </c>
      <c r="C11" s="79" t="s">
        <v>110</v>
      </c>
      <c r="D11" s="80" t="s">
        <v>111</v>
      </c>
      <c r="E11" s="80" t="s">
        <v>112</v>
      </c>
      <c r="F11" s="81" t="s">
        <v>96</v>
      </c>
      <c r="G11" s="81" t="s">
        <v>97</v>
      </c>
      <c r="H11" s="82" t="s">
        <v>113</v>
      </c>
      <c r="I11" s="82" t="s">
        <v>114</v>
      </c>
      <c r="J11" s="83" t="s">
        <v>87</v>
      </c>
      <c r="K11" s="84" t="s">
        <v>115</v>
      </c>
      <c r="L11" s="78" t="s">
        <v>116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117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117</v>
      </c>
      <c r="AM11" s="21" t="s">
        <v>18</v>
      </c>
      <c r="AP11" s="85" t="s">
        <v>71</v>
      </c>
      <c r="AQ11" s="21" t="s">
        <v>118</v>
      </c>
      <c r="AR11" s="50" t="s">
        <v>119</v>
      </c>
      <c r="AS11" s="21" t="s">
        <v>72</v>
      </c>
      <c r="AT11" s="21" t="s">
        <v>73</v>
      </c>
      <c r="AU11" s="21" t="s">
        <v>74</v>
      </c>
    </row>
    <row r="12" spans="2:47" x14ac:dyDescent="0.25">
      <c r="B12" s="7">
        <v>45663</v>
      </c>
      <c r="C12" s="6" t="s">
        <v>330</v>
      </c>
      <c r="D12" s="6" t="s">
        <v>331</v>
      </c>
      <c r="E12" s="6">
        <v>90</v>
      </c>
      <c r="F12" s="66">
        <v>0.98936170212765961</v>
      </c>
      <c r="G12" s="67">
        <v>1.0752688172043012E-2</v>
      </c>
      <c r="H12" s="5">
        <v>50.06</v>
      </c>
      <c r="I12" s="5">
        <v>0.01</v>
      </c>
      <c r="J12" s="4">
        <v>50.050000000000004</v>
      </c>
      <c r="K12" s="4">
        <v>1003.65</v>
      </c>
      <c r="L12" s="3">
        <v>52</v>
      </c>
      <c r="M12" s="3">
        <v>0</v>
      </c>
      <c r="X12" s="94">
        <v>309</v>
      </c>
      <c r="Y12" s="6">
        <v>2</v>
      </c>
      <c r="Z12" s="94">
        <v>618</v>
      </c>
      <c r="AP12" s="49" t="e" cm="1">
        <f t="array" ref="AP12">_xlfn._xlws.FILTER(#REF!,#REF!=$B$2,"No Data")</f>
        <v>#REF!</v>
      </c>
    </row>
    <row r="13" spans="2:47" x14ac:dyDescent="0.25">
      <c r="B13" s="7">
        <v>45656</v>
      </c>
      <c r="C13" s="6" t="s">
        <v>330</v>
      </c>
      <c r="D13" s="6" t="s">
        <v>331</v>
      </c>
      <c r="E13" s="6">
        <v>69</v>
      </c>
      <c r="F13" s="66">
        <v>1</v>
      </c>
      <c r="G13" s="67">
        <v>1.4084507042253521E-2</v>
      </c>
      <c r="H13" s="5">
        <v>25.8</v>
      </c>
      <c r="I13" s="5">
        <v>0</v>
      </c>
      <c r="J13" s="4">
        <v>25.8</v>
      </c>
      <c r="K13" s="4">
        <v>611.37</v>
      </c>
      <c r="L13" s="3">
        <v>34.21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31.1406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137</v>
      </c>
      <c r="B1" t="s">
        <v>235</v>
      </c>
      <c r="C1" t="s">
        <v>236</v>
      </c>
      <c r="D1" t="s">
        <v>237</v>
      </c>
      <c r="E1" t="s">
        <v>29</v>
      </c>
    </row>
    <row r="2" spans="1:5" x14ac:dyDescent="0.25">
      <c r="A2" t="s">
        <v>40</v>
      </c>
      <c r="B2">
        <v>2302</v>
      </c>
      <c r="C2" t="s">
        <v>240</v>
      </c>
      <c r="D2" t="s">
        <v>239</v>
      </c>
      <c r="E2">
        <v>2</v>
      </c>
    </row>
    <row r="3" spans="1:5" x14ac:dyDescent="0.25">
      <c r="A3" t="s">
        <v>37</v>
      </c>
      <c r="B3">
        <v>2338</v>
      </c>
      <c r="C3" t="s">
        <v>238</v>
      </c>
      <c r="D3" t="s">
        <v>239</v>
      </c>
      <c r="E3">
        <v>2</v>
      </c>
    </row>
    <row r="4" spans="1:5" x14ac:dyDescent="0.25">
      <c r="A4" t="s">
        <v>34</v>
      </c>
      <c r="B4">
        <v>2313</v>
      </c>
      <c r="C4" t="s">
        <v>241</v>
      </c>
      <c r="D4" t="s">
        <v>239</v>
      </c>
      <c r="E4">
        <v>2</v>
      </c>
    </row>
    <row r="5" spans="1:5" x14ac:dyDescent="0.25">
      <c r="A5" t="s">
        <v>36</v>
      </c>
      <c r="B5">
        <v>2555</v>
      </c>
      <c r="C5" t="s">
        <v>337</v>
      </c>
      <c r="D5" t="s">
        <v>239</v>
      </c>
      <c r="E5">
        <v>2</v>
      </c>
    </row>
    <row r="6" spans="1:5" x14ac:dyDescent="0.25">
      <c r="A6" t="s">
        <v>32</v>
      </c>
      <c r="B6">
        <v>2298</v>
      </c>
      <c r="C6" t="s">
        <v>242</v>
      </c>
      <c r="D6" t="s">
        <v>243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60"/>
  <sheetViews>
    <sheetView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31.140625" bestFit="1" customWidth="1"/>
    <col min="6" max="6" width="8.14062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137</v>
      </c>
      <c r="B1" t="s">
        <v>196</v>
      </c>
      <c r="C1" t="s">
        <v>237</v>
      </c>
      <c r="D1" t="s">
        <v>244</v>
      </c>
      <c r="E1" t="s">
        <v>236</v>
      </c>
      <c r="F1" t="s">
        <v>235</v>
      </c>
      <c r="G1" t="s">
        <v>245</v>
      </c>
    </row>
    <row r="2" spans="1:7" x14ac:dyDescent="0.25">
      <c r="A2" t="s">
        <v>32</v>
      </c>
      <c r="B2" t="s">
        <v>142</v>
      </c>
      <c r="C2" t="s">
        <v>243</v>
      </c>
      <c r="D2" t="s">
        <v>246</v>
      </c>
      <c r="E2" t="s">
        <v>242</v>
      </c>
      <c r="F2">
        <v>2298</v>
      </c>
      <c r="G2" t="s">
        <v>243</v>
      </c>
    </row>
    <row r="3" spans="1:7" x14ac:dyDescent="0.25">
      <c r="A3" t="s">
        <v>32</v>
      </c>
      <c r="B3" t="s">
        <v>199</v>
      </c>
      <c r="C3" t="s">
        <v>243</v>
      </c>
      <c r="D3" t="s">
        <v>246</v>
      </c>
      <c r="E3" t="s">
        <v>242</v>
      </c>
      <c r="F3">
        <v>2298</v>
      </c>
      <c r="G3" t="s">
        <v>243</v>
      </c>
    </row>
    <row r="4" spans="1:7" x14ac:dyDescent="0.25">
      <c r="A4" t="s">
        <v>34</v>
      </c>
      <c r="B4" t="s">
        <v>145</v>
      </c>
      <c r="C4" t="s">
        <v>239</v>
      </c>
      <c r="D4" t="s">
        <v>246</v>
      </c>
      <c r="E4" t="s">
        <v>241</v>
      </c>
      <c r="F4">
        <v>2313</v>
      </c>
      <c r="G4" t="s">
        <v>239</v>
      </c>
    </row>
    <row r="5" spans="1:7" x14ac:dyDescent="0.25">
      <c r="A5" t="s">
        <v>34</v>
      </c>
      <c r="B5" t="s">
        <v>144</v>
      </c>
      <c r="C5" t="s">
        <v>239</v>
      </c>
      <c r="D5" t="s">
        <v>246</v>
      </c>
      <c r="E5" t="s">
        <v>241</v>
      </c>
      <c r="F5">
        <v>2313</v>
      </c>
      <c r="G5" t="s">
        <v>239</v>
      </c>
    </row>
    <row r="6" spans="1:7" x14ac:dyDescent="0.25">
      <c r="A6" t="s">
        <v>34</v>
      </c>
      <c r="B6" t="s">
        <v>148</v>
      </c>
      <c r="C6" t="s">
        <v>239</v>
      </c>
      <c r="D6" t="s">
        <v>246</v>
      </c>
      <c r="E6" t="s">
        <v>241</v>
      </c>
      <c r="F6">
        <v>2313</v>
      </c>
      <c r="G6" t="s">
        <v>239</v>
      </c>
    </row>
    <row r="7" spans="1:7" x14ac:dyDescent="0.25">
      <c r="A7" t="s">
        <v>34</v>
      </c>
      <c r="B7" t="s">
        <v>152</v>
      </c>
      <c r="C7" t="s">
        <v>81</v>
      </c>
      <c r="D7" t="s">
        <v>247</v>
      </c>
      <c r="E7" t="s">
        <v>241</v>
      </c>
      <c r="F7">
        <v>2313</v>
      </c>
      <c r="G7" t="s">
        <v>81</v>
      </c>
    </row>
    <row r="8" spans="1:7" x14ac:dyDescent="0.25">
      <c r="A8" t="s">
        <v>34</v>
      </c>
      <c r="B8" t="s">
        <v>155</v>
      </c>
      <c r="C8" t="s">
        <v>239</v>
      </c>
      <c r="D8" t="s">
        <v>246</v>
      </c>
      <c r="E8" t="s">
        <v>241</v>
      </c>
      <c r="F8">
        <v>2313</v>
      </c>
      <c r="G8" t="s">
        <v>239</v>
      </c>
    </row>
    <row r="9" spans="1:7" x14ac:dyDescent="0.25">
      <c r="A9" t="s">
        <v>34</v>
      </c>
      <c r="B9" t="s">
        <v>200</v>
      </c>
      <c r="C9" t="s">
        <v>243</v>
      </c>
      <c r="D9" t="s">
        <v>246</v>
      </c>
      <c r="E9" t="s">
        <v>241</v>
      </c>
      <c r="F9">
        <v>2313</v>
      </c>
      <c r="G9" t="s">
        <v>243</v>
      </c>
    </row>
    <row r="10" spans="1:7" x14ac:dyDescent="0.25">
      <c r="A10" t="s">
        <v>34</v>
      </c>
      <c r="B10" t="s">
        <v>156</v>
      </c>
      <c r="C10" t="s">
        <v>243</v>
      </c>
      <c r="D10" t="s">
        <v>246</v>
      </c>
      <c r="E10" t="s">
        <v>241</v>
      </c>
      <c r="F10">
        <v>2313</v>
      </c>
      <c r="G10" t="s">
        <v>243</v>
      </c>
    </row>
    <row r="11" spans="1:7" x14ac:dyDescent="0.25">
      <c r="A11" t="s">
        <v>34</v>
      </c>
      <c r="B11" t="s">
        <v>201</v>
      </c>
      <c r="C11" t="s">
        <v>243</v>
      </c>
      <c r="D11" t="s">
        <v>246</v>
      </c>
      <c r="E11" t="s">
        <v>241</v>
      </c>
      <c r="F11">
        <v>2313</v>
      </c>
      <c r="G11" t="s">
        <v>243</v>
      </c>
    </row>
    <row r="12" spans="1:7" x14ac:dyDescent="0.25">
      <c r="A12" t="s">
        <v>34</v>
      </c>
      <c r="B12" t="s">
        <v>202</v>
      </c>
      <c r="C12" t="s">
        <v>243</v>
      </c>
      <c r="D12" t="s">
        <v>246</v>
      </c>
      <c r="E12" t="s">
        <v>241</v>
      </c>
      <c r="F12">
        <v>2313</v>
      </c>
      <c r="G12" t="s">
        <v>243</v>
      </c>
    </row>
    <row r="13" spans="1:7" x14ac:dyDescent="0.25">
      <c r="A13" t="s">
        <v>34</v>
      </c>
      <c r="B13" t="s">
        <v>203</v>
      </c>
      <c r="C13" t="s">
        <v>243</v>
      </c>
      <c r="D13" t="s">
        <v>246</v>
      </c>
      <c r="E13" t="s">
        <v>241</v>
      </c>
      <c r="F13">
        <v>2313</v>
      </c>
      <c r="G13" t="s">
        <v>243</v>
      </c>
    </row>
    <row r="14" spans="1:7" x14ac:dyDescent="0.25">
      <c r="A14" t="s">
        <v>34</v>
      </c>
      <c r="B14" t="s">
        <v>141</v>
      </c>
      <c r="C14" t="s">
        <v>243</v>
      </c>
      <c r="D14" t="s">
        <v>246</v>
      </c>
      <c r="E14" t="s">
        <v>241</v>
      </c>
      <c r="F14">
        <v>2313</v>
      </c>
      <c r="G14" t="s">
        <v>243</v>
      </c>
    </row>
    <row r="15" spans="1:7" x14ac:dyDescent="0.25">
      <c r="A15" t="s">
        <v>34</v>
      </c>
      <c r="B15" t="s">
        <v>204</v>
      </c>
      <c r="C15" t="s">
        <v>81</v>
      </c>
      <c r="D15" t="s">
        <v>248</v>
      </c>
      <c r="E15" t="s">
        <v>241</v>
      </c>
      <c r="F15">
        <v>2313</v>
      </c>
      <c r="G15" t="s">
        <v>81</v>
      </c>
    </row>
    <row r="16" spans="1:7" x14ac:dyDescent="0.25">
      <c r="A16" t="s">
        <v>34</v>
      </c>
      <c r="B16" t="s">
        <v>205</v>
      </c>
      <c r="C16" t="s">
        <v>243</v>
      </c>
      <c r="D16" t="s">
        <v>246</v>
      </c>
      <c r="E16" t="s">
        <v>241</v>
      </c>
      <c r="F16">
        <v>2313</v>
      </c>
      <c r="G16" t="s">
        <v>243</v>
      </c>
    </row>
    <row r="17" spans="1:7" x14ac:dyDescent="0.25">
      <c r="A17" t="s">
        <v>34</v>
      </c>
      <c r="B17" t="s">
        <v>206</v>
      </c>
      <c r="C17" t="s">
        <v>239</v>
      </c>
      <c r="D17" t="s">
        <v>246</v>
      </c>
      <c r="E17" t="s">
        <v>241</v>
      </c>
      <c r="F17">
        <v>2313</v>
      </c>
      <c r="G17" t="s">
        <v>239</v>
      </c>
    </row>
    <row r="18" spans="1:7" x14ac:dyDescent="0.25">
      <c r="A18" t="s">
        <v>34</v>
      </c>
      <c r="B18" t="s">
        <v>207</v>
      </c>
      <c r="C18" t="s">
        <v>239</v>
      </c>
      <c r="D18" t="s">
        <v>246</v>
      </c>
      <c r="E18" t="s">
        <v>241</v>
      </c>
      <c r="F18">
        <v>2313</v>
      </c>
      <c r="G18" t="s">
        <v>239</v>
      </c>
    </row>
    <row r="19" spans="1:7" x14ac:dyDescent="0.25">
      <c r="A19" t="s">
        <v>37</v>
      </c>
      <c r="B19" t="s">
        <v>208</v>
      </c>
      <c r="C19" t="s">
        <v>81</v>
      </c>
      <c r="D19" t="s">
        <v>248</v>
      </c>
      <c r="E19" t="s">
        <v>238</v>
      </c>
      <c r="F19">
        <v>2338</v>
      </c>
      <c r="G19" t="s">
        <v>81</v>
      </c>
    </row>
    <row r="20" spans="1:7" x14ac:dyDescent="0.25">
      <c r="A20" t="s">
        <v>37</v>
      </c>
      <c r="B20" t="s">
        <v>209</v>
      </c>
      <c r="C20" t="s">
        <v>243</v>
      </c>
      <c r="D20" t="s">
        <v>246</v>
      </c>
      <c r="E20" t="s">
        <v>238</v>
      </c>
      <c r="F20">
        <v>2338</v>
      </c>
      <c r="G20" t="s">
        <v>243</v>
      </c>
    </row>
    <row r="21" spans="1:7" x14ac:dyDescent="0.25">
      <c r="A21" t="s">
        <v>37</v>
      </c>
      <c r="B21" t="s">
        <v>210</v>
      </c>
      <c r="C21" t="s">
        <v>243</v>
      </c>
      <c r="D21" t="s">
        <v>246</v>
      </c>
      <c r="E21" t="s">
        <v>238</v>
      </c>
      <c r="F21">
        <v>2338</v>
      </c>
      <c r="G21" t="s">
        <v>243</v>
      </c>
    </row>
    <row r="22" spans="1:7" x14ac:dyDescent="0.25">
      <c r="A22" t="s">
        <v>37</v>
      </c>
      <c r="B22" t="s">
        <v>211</v>
      </c>
      <c r="C22" t="s">
        <v>239</v>
      </c>
      <c r="D22" t="s">
        <v>246</v>
      </c>
      <c r="E22" t="s">
        <v>238</v>
      </c>
      <c r="F22">
        <v>2338</v>
      </c>
      <c r="G22" t="s">
        <v>239</v>
      </c>
    </row>
    <row r="23" spans="1:7" x14ac:dyDescent="0.25">
      <c r="A23" t="s">
        <v>37</v>
      </c>
      <c r="B23" t="s">
        <v>157</v>
      </c>
      <c r="C23" t="s">
        <v>243</v>
      </c>
      <c r="D23" t="s">
        <v>246</v>
      </c>
      <c r="E23" t="s">
        <v>238</v>
      </c>
      <c r="F23">
        <v>2338</v>
      </c>
      <c r="G23" t="s">
        <v>243</v>
      </c>
    </row>
    <row r="24" spans="1:7" x14ac:dyDescent="0.25">
      <c r="A24" t="s">
        <v>37</v>
      </c>
      <c r="B24" t="s">
        <v>212</v>
      </c>
      <c r="C24" t="s">
        <v>81</v>
      </c>
      <c r="D24" t="s">
        <v>248</v>
      </c>
      <c r="E24" t="s">
        <v>238</v>
      </c>
      <c r="F24">
        <v>2338</v>
      </c>
      <c r="G24" t="s">
        <v>81</v>
      </c>
    </row>
    <row r="25" spans="1:7" x14ac:dyDescent="0.25">
      <c r="A25" t="s">
        <v>37</v>
      </c>
      <c r="B25" t="s">
        <v>151</v>
      </c>
      <c r="C25" t="s">
        <v>243</v>
      </c>
      <c r="D25" t="s">
        <v>246</v>
      </c>
      <c r="E25" t="s">
        <v>238</v>
      </c>
      <c r="F25">
        <v>2338</v>
      </c>
      <c r="G25" t="s">
        <v>243</v>
      </c>
    </row>
    <row r="26" spans="1:7" x14ac:dyDescent="0.25">
      <c r="A26" t="s">
        <v>37</v>
      </c>
      <c r="B26" t="s">
        <v>140</v>
      </c>
      <c r="C26" t="s">
        <v>243</v>
      </c>
      <c r="D26" t="s">
        <v>246</v>
      </c>
      <c r="E26" t="s">
        <v>238</v>
      </c>
      <c r="F26">
        <v>2338</v>
      </c>
      <c r="G26" t="s">
        <v>243</v>
      </c>
    </row>
    <row r="27" spans="1:7" x14ac:dyDescent="0.25">
      <c r="A27" t="s">
        <v>37</v>
      </c>
      <c r="B27" t="s">
        <v>213</v>
      </c>
      <c r="C27" t="s">
        <v>81</v>
      </c>
      <c r="D27" t="s">
        <v>248</v>
      </c>
      <c r="E27" t="s">
        <v>238</v>
      </c>
      <c r="F27">
        <v>2338</v>
      </c>
      <c r="G27" t="s">
        <v>81</v>
      </c>
    </row>
    <row r="28" spans="1:7" x14ac:dyDescent="0.25">
      <c r="A28" t="s">
        <v>37</v>
      </c>
      <c r="B28" t="s">
        <v>146</v>
      </c>
      <c r="C28" t="s">
        <v>239</v>
      </c>
      <c r="D28" t="s">
        <v>246</v>
      </c>
      <c r="E28" t="s">
        <v>238</v>
      </c>
      <c r="F28">
        <v>2338</v>
      </c>
      <c r="G28" t="s">
        <v>239</v>
      </c>
    </row>
    <row r="29" spans="1:7" x14ac:dyDescent="0.25">
      <c r="A29" t="s">
        <v>37</v>
      </c>
      <c r="B29" t="s">
        <v>149</v>
      </c>
      <c r="C29" t="s">
        <v>239</v>
      </c>
      <c r="D29" t="s">
        <v>247</v>
      </c>
      <c r="E29" t="s">
        <v>238</v>
      </c>
      <c r="F29">
        <v>2338</v>
      </c>
      <c r="G29" t="s">
        <v>239</v>
      </c>
    </row>
    <row r="30" spans="1:7" x14ac:dyDescent="0.25">
      <c r="A30" t="s">
        <v>37</v>
      </c>
      <c r="B30" t="s">
        <v>143</v>
      </c>
      <c r="C30" t="s">
        <v>239</v>
      </c>
      <c r="D30" t="s">
        <v>246</v>
      </c>
      <c r="E30" t="s">
        <v>238</v>
      </c>
      <c r="F30">
        <v>2338</v>
      </c>
      <c r="G30" t="s">
        <v>239</v>
      </c>
    </row>
    <row r="31" spans="1:7" x14ac:dyDescent="0.25">
      <c r="A31" t="s">
        <v>37</v>
      </c>
      <c r="B31" t="s">
        <v>214</v>
      </c>
      <c r="C31" t="s">
        <v>81</v>
      </c>
      <c r="D31" t="s">
        <v>247</v>
      </c>
      <c r="E31" t="s">
        <v>238</v>
      </c>
      <c r="F31">
        <v>2338</v>
      </c>
      <c r="G31" t="s">
        <v>81</v>
      </c>
    </row>
    <row r="32" spans="1:7" x14ac:dyDescent="0.25">
      <c r="A32" t="s">
        <v>37</v>
      </c>
      <c r="B32" t="s">
        <v>215</v>
      </c>
      <c r="C32" t="s">
        <v>243</v>
      </c>
      <c r="D32" t="s">
        <v>246</v>
      </c>
      <c r="E32" t="s">
        <v>238</v>
      </c>
      <c r="F32">
        <v>2338</v>
      </c>
      <c r="G32" t="s">
        <v>243</v>
      </c>
    </row>
    <row r="33" spans="1:7" x14ac:dyDescent="0.25">
      <c r="A33" t="s">
        <v>37</v>
      </c>
      <c r="B33" t="s">
        <v>216</v>
      </c>
      <c r="C33" t="s">
        <v>243</v>
      </c>
      <c r="D33" t="s">
        <v>246</v>
      </c>
      <c r="E33" t="s">
        <v>238</v>
      </c>
      <c r="F33">
        <v>2338</v>
      </c>
      <c r="G33" t="s">
        <v>243</v>
      </c>
    </row>
    <row r="34" spans="1:7" x14ac:dyDescent="0.25">
      <c r="A34" t="s">
        <v>37</v>
      </c>
      <c r="B34" t="s">
        <v>217</v>
      </c>
      <c r="C34" t="s">
        <v>81</v>
      </c>
      <c r="D34" t="s">
        <v>247</v>
      </c>
      <c r="E34" t="s">
        <v>238</v>
      </c>
      <c r="F34">
        <v>2338</v>
      </c>
      <c r="G34" t="s">
        <v>81</v>
      </c>
    </row>
    <row r="35" spans="1:7" x14ac:dyDescent="0.25">
      <c r="A35" t="s">
        <v>37</v>
      </c>
      <c r="B35" t="s">
        <v>218</v>
      </c>
      <c r="C35" t="s">
        <v>81</v>
      </c>
      <c r="D35" t="s">
        <v>247</v>
      </c>
      <c r="E35" t="s">
        <v>238</v>
      </c>
      <c r="F35">
        <v>2338</v>
      </c>
      <c r="G35" t="s">
        <v>81</v>
      </c>
    </row>
    <row r="36" spans="1:7" x14ac:dyDescent="0.25">
      <c r="A36" t="s">
        <v>37</v>
      </c>
      <c r="B36" t="s">
        <v>219</v>
      </c>
      <c r="C36" t="s">
        <v>81</v>
      </c>
      <c r="D36" t="s">
        <v>248</v>
      </c>
      <c r="E36" t="s">
        <v>238</v>
      </c>
      <c r="F36">
        <v>2338</v>
      </c>
      <c r="G36" t="s">
        <v>81</v>
      </c>
    </row>
    <row r="37" spans="1:7" x14ac:dyDescent="0.25">
      <c r="A37" t="s">
        <v>37</v>
      </c>
      <c r="B37" t="s">
        <v>220</v>
      </c>
      <c r="C37" t="s">
        <v>81</v>
      </c>
      <c r="D37" t="s">
        <v>248</v>
      </c>
      <c r="E37" t="s">
        <v>238</v>
      </c>
      <c r="F37">
        <v>2338</v>
      </c>
      <c r="G37" t="s">
        <v>81</v>
      </c>
    </row>
    <row r="38" spans="1:7" x14ac:dyDescent="0.25">
      <c r="A38" t="s">
        <v>37</v>
      </c>
      <c r="B38" t="s">
        <v>221</v>
      </c>
      <c r="C38" t="s">
        <v>81</v>
      </c>
      <c r="D38" t="s">
        <v>248</v>
      </c>
      <c r="E38" t="s">
        <v>238</v>
      </c>
      <c r="F38">
        <v>2338</v>
      </c>
      <c r="G38" t="s">
        <v>81</v>
      </c>
    </row>
    <row r="39" spans="1:7" x14ac:dyDescent="0.25">
      <c r="A39" t="s">
        <v>37</v>
      </c>
      <c r="B39" t="s">
        <v>222</v>
      </c>
      <c r="C39" t="s">
        <v>239</v>
      </c>
      <c r="D39" t="s">
        <v>246</v>
      </c>
      <c r="E39" t="s">
        <v>238</v>
      </c>
      <c r="F39">
        <v>2338</v>
      </c>
      <c r="G39" t="s">
        <v>239</v>
      </c>
    </row>
    <row r="40" spans="1:7" x14ac:dyDescent="0.25">
      <c r="A40" t="s">
        <v>37</v>
      </c>
      <c r="B40" t="s">
        <v>223</v>
      </c>
      <c r="C40" t="s">
        <v>239</v>
      </c>
      <c r="D40" t="s">
        <v>246</v>
      </c>
      <c r="E40" t="s">
        <v>238</v>
      </c>
      <c r="F40">
        <v>2338</v>
      </c>
      <c r="G40" t="s">
        <v>239</v>
      </c>
    </row>
    <row r="41" spans="1:7" x14ac:dyDescent="0.25">
      <c r="A41" t="s">
        <v>34</v>
      </c>
      <c r="B41" t="s">
        <v>139</v>
      </c>
      <c r="C41" t="s">
        <v>243</v>
      </c>
      <c r="D41" t="s">
        <v>247</v>
      </c>
      <c r="E41" t="s">
        <v>241</v>
      </c>
      <c r="F41">
        <v>2313</v>
      </c>
      <c r="G41" t="s">
        <v>243</v>
      </c>
    </row>
    <row r="42" spans="1:7" x14ac:dyDescent="0.25">
      <c r="A42" t="s">
        <v>40</v>
      </c>
      <c r="B42" t="s">
        <v>147</v>
      </c>
      <c r="C42" t="s">
        <v>239</v>
      </c>
      <c r="D42" t="s">
        <v>246</v>
      </c>
      <c r="E42" t="s">
        <v>240</v>
      </c>
      <c r="F42">
        <v>2302</v>
      </c>
      <c r="G42" t="s">
        <v>239</v>
      </c>
    </row>
    <row r="43" spans="1:7" x14ac:dyDescent="0.25">
      <c r="A43" t="s">
        <v>40</v>
      </c>
      <c r="B43" t="s">
        <v>224</v>
      </c>
      <c r="C43" t="s">
        <v>239</v>
      </c>
      <c r="D43" t="s">
        <v>246</v>
      </c>
      <c r="E43" t="s">
        <v>240</v>
      </c>
      <c r="F43">
        <v>2302</v>
      </c>
      <c r="G43" t="s">
        <v>239</v>
      </c>
    </row>
    <row r="44" spans="1:7" x14ac:dyDescent="0.25">
      <c r="A44" t="s">
        <v>40</v>
      </c>
      <c r="B44" t="s">
        <v>225</v>
      </c>
      <c r="C44" t="s">
        <v>239</v>
      </c>
      <c r="D44" t="s">
        <v>246</v>
      </c>
      <c r="E44" t="s">
        <v>240</v>
      </c>
      <c r="F44">
        <v>2302</v>
      </c>
      <c r="G44" t="s">
        <v>239</v>
      </c>
    </row>
    <row r="45" spans="1:7" x14ac:dyDescent="0.25">
      <c r="A45" t="s">
        <v>40</v>
      </c>
      <c r="B45" t="s">
        <v>226</v>
      </c>
      <c r="C45" t="s">
        <v>239</v>
      </c>
      <c r="D45" t="s">
        <v>247</v>
      </c>
      <c r="E45" t="s">
        <v>240</v>
      </c>
      <c r="F45">
        <v>2302</v>
      </c>
      <c r="G45" t="s">
        <v>239</v>
      </c>
    </row>
    <row r="46" spans="1:7" x14ac:dyDescent="0.25">
      <c r="A46" t="s">
        <v>40</v>
      </c>
      <c r="B46" t="s">
        <v>227</v>
      </c>
      <c r="C46" t="s">
        <v>243</v>
      </c>
      <c r="D46" t="s">
        <v>246</v>
      </c>
      <c r="E46" t="s">
        <v>240</v>
      </c>
      <c r="F46">
        <v>2302</v>
      </c>
      <c r="G46" t="s">
        <v>243</v>
      </c>
    </row>
    <row r="47" spans="1:7" x14ac:dyDescent="0.25">
      <c r="A47" t="s">
        <v>40</v>
      </c>
      <c r="B47" t="s">
        <v>154</v>
      </c>
      <c r="C47" t="s">
        <v>243</v>
      </c>
      <c r="D47" t="s">
        <v>246</v>
      </c>
      <c r="E47" t="s">
        <v>240</v>
      </c>
      <c r="F47">
        <v>2302</v>
      </c>
      <c r="G47" t="s">
        <v>243</v>
      </c>
    </row>
    <row r="48" spans="1:7" x14ac:dyDescent="0.25">
      <c r="A48" t="s">
        <v>40</v>
      </c>
      <c r="B48" t="s">
        <v>228</v>
      </c>
      <c r="C48" t="s">
        <v>243</v>
      </c>
      <c r="D48" t="s">
        <v>246</v>
      </c>
      <c r="E48" t="s">
        <v>240</v>
      </c>
      <c r="F48">
        <v>2302</v>
      </c>
      <c r="G48" t="s">
        <v>243</v>
      </c>
    </row>
    <row r="49" spans="1:7" x14ac:dyDescent="0.25">
      <c r="A49" t="s">
        <v>40</v>
      </c>
      <c r="B49" t="s">
        <v>229</v>
      </c>
      <c r="C49" t="s">
        <v>243</v>
      </c>
      <c r="D49" t="s">
        <v>246</v>
      </c>
      <c r="E49" t="s">
        <v>240</v>
      </c>
      <c r="F49">
        <v>2302</v>
      </c>
      <c r="G49" t="s">
        <v>243</v>
      </c>
    </row>
    <row r="50" spans="1:7" x14ac:dyDescent="0.25">
      <c r="A50" t="s">
        <v>40</v>
      </c>
      <c r="B50" t="s">
        <v>230</v>
      </c>
      <c r="C50" t="s">
        <v>81</v>
      </c>
      <c r="D50" t="s">
        <v>248</v>
      </c>
      <c r="E50" t="s">
        <v>240</v>
      </c>
      <c r="F50">
        <v>2302</v>
      </c>
      <c r="G50" t="s">
        <v>81</v>
      </c>
    </row>
    <row r="51" spans="1:7" x14ac:dyDescent="0.25">
      <c r="A51" t="s">
        <v>32</v>
      </c>
      <c r="B51" t="s">
        <v>231</v>
      </c>
      <c r="C51" t="s">
        <v>243</v>
      </c>
      <c r="D51" t="s">
        <v>246</v>
      </c>
      <c r="E51" t="s">
        <v>242</v>
      </c>
      <c r="F51">
        <v>2298</v>
      </c>
      <c r="G51" t="s">
        <v>243</v>
      </c>
    </row>
    <row r="52" spans="1:7" x14ac:dyDescent="0.25">
      <c r="A52" t="s">
        <v>36</v>
      </c>
      <c r="B52" t="s">
        <v>232</v>
      </c>
      <c r="C52" t="s">
        <v>239</v>
      </c>
      <c r="D52" t="s">
        <v>248</v>
      </c>
      <c r="E52" t="s">
        <v>337</v>
      </c>
      <c r="F52">
        <v>2555</v>
      </c>
      <c r="G52" t="s">
        <v>239</v>
      </c>
    </row>
    <row r="53" spans="1:7" x14ac:dyDescent="0.25">
      <c r="A53" t="s">
        <v>34</v>
      </c>
      <c r="B53" t="s">
        <v>233</v>
      </c>
      <c r="C53" t="s">
        <v>81</v>
      </c>
      <c r="D53" t="s">
        <v>248</v>
      </c>
      <c r="E53" t="s">
        <v>241</v>
      </c>
      <c r="F53">
        <v>2313</v>
      </c>
      <c r="G53" t="s">
        <v>81</v>
      </c>
    </row>
    <row r="54" spans="1:7" x14ac:dyDescent="0.25">
      <c r="A54" t="s">
        <v>34</v>
      </c>
      <c r="B54" t="s">
        <v>234</v>
      </c>
      <c r="C54" t="s">
        <v>81</v>
      </c>
      <c r="D54" t="s">
        <v>248</v>
      </c>
      <c r="E54" t="s">
        <v>241</v>
      </c>
      <c r="F54">
        <v>2313</v>
      </c>
      <c r="G54" t="s">
        <v>81</v>
      </c>
    </row>
    <row r="55" spans="1:7" x14ac:dyDescent="0.25">
      <c r="A55" t="s">
        <v>36</v>
      </c>
      <c r="B55" t="s">
        <v>158</v>
      </c>
      <c r="C55" t="s">
        <v>81</v>
      </c>
      <c r="D55" t="s">
        <v>248</v>
      </c>
      <c r="E55" t="s">
        <v>337</v>
      </c>
      <c r="F55">
        <v>2555</v>
      </c>
      <c r="G55" t="s">
        <v>81</v>
      </c>
    </row>
    <row r="56" spans="1:7" x14ac:dyDescent="0.25">
      <c r="A56" t="s">
        <v>37</v>
      </c>
      <c r="B56" t="s">
        <v>138</v>
      </c>
      <c r="C56" t="s">
        <v>243</v>
      </c>
      <c r="D56" t="s">
        <v>246</v>
      </c>
      <c r="E56" t="s">
        <v>238</v>
      </c>
      <c r="F56">
        <v>2338</v>
      </c>
      <c r="G56" t="s">
        <v>243</v>
      </c>
    </row>
    <row r="57" spans="1:7" x14ac:dyDescent="0.25">
      <c r="A57" t="s">
        <v>36</v>
      </c>
      <c r="B57" t="s">
        <v>150</v>
      </c>
      <c r="C57" t="s">
        <v>239</v>
      </c>
      <c r="D57" t="s">
        <v>248</v>
      </c>
      <c r="E57" t="s">
        <v>337</v>
      </c>
      <c r="F57">
        <v>2555</v>
      </c>
      <c r="G57" t="s">
        <v>239</v>
      </c>
    </row>
    <row r="58" spans="1:7" x14ac:dyDescent="0.25">
      <c r="A58" t="s">
        <v>34</v>
      </c>
      <c r="B58" t="s">
        <v>153</v>
      </c>
      <c r="C58" t="s">
        <v>243</v>
      </c>
      <c r="D58" t="s">
        <v>247</v>
      </c>
      <c r="E58" t="s">
        <v>241</v>
      </c>
      <c r="F58">
        <v>2313</v>
      </c>
      <c r="G58" t="s">
        <v>243</v>
      </c>
    </row>
    <row r="59" spans="1:7" x14ac:dyDescent="0.25">
      <c r="A59" t="s">
        <v>40</v>
      </c>
      <c r="B59" t="s">
        <v>294</v>
      </c>
      <c r="C59" t="s">
        <v>243</v>
      </c>
      <c r="D59" t="s">
        <v>246</v>
      </c>
      <c r="E59" t="s">
        <v>240</v>
      </c>
      <c r="F59">
        <v>2302</v>
      </c>
      <c r="G59" t="s">
        <v>243</v>
      </c>
    </row>
    <row r="60" spans="1:7" x14ac:dyDescent="0.25">
      <c r="A60" t="s">
        <v>40</v>
      </c>
      <c r="B60" t="s">
        <v>343</v>
      </c>
      <c r="C60" t="s">
        <v>243</v>
      </c>
      <c r="D60" t="s">
        <v>246</v>
      </c>
      <c r="E60" t="s">
        <v>240</v>
      </c>
      <c r="F60">
        <v>2302</v>
      </c>
      <c r="G60" t="s">
        <v>243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249</v>
      </c>
      <c r="B1" t="s">
        <v>250</v>
      </c>
      <c r="C1" t="s">
        <v>251</v>
      </c>
      <c r="D1" t="s">
        <v>24</v>
      </c>
      <c r="E1" t="s">
        <v>4</v>
      </c>
      <c r="F1" t="s">
        <v>137</v>
      </c>
      <c r="G1" t="s">
        <v>196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2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249</v>
      </c>
      <c r="B1" t="s">
        <v>250</v>
      </c>
      <c r="C1" t="s">
        <v>251</v>
      </c>
      <c r="D1" t="s">
        <v>24</v>
      </c>
      <c r="E1" t="s">
        <v>4</v>
      </c>
      <c r="F1" t="s">
        <v>137</v>
      </c>
      <c r="G1" t="s">
        <v>196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252</v>
      </c>
      <c r="B2" s="1" t="s">
        <v>253</v>
      </c>
    </row>
    <row r="3" spans="1:5" x14ac:dyDescent="0.25">
      <c r="A3" s="1" t="s">
        <v>254</v>
      </c>
      <c r="B3" t="str" cm="1">
        <f t="array" aca="1" ref="B3" ca="1">LEFT(CELL("filename",A1),FIND("[",CELL("filename",A1))-1)</f>
        <v>C:\Users\apple_gi6luwz\Big Star Transit LLC Dropbox\Big Star Transit LLC Team Folder\A ACCOUNTING\2025 A CORP INVOICING\2 IL\AUTOMATIONS\VDP Automation\</v>
      </c>
    </row>
    <row r="4" spans="1:5" x14ac:dyDescent="0.25">
      <c r="A4" s="1" t="s">
        <v>255</v>
      </c>
      <c r="B4" t="str" cm="1">
        <f t="array" aca="1" ref="B4" ca="1">LEFT(CELL("filename",A1),FIND("VDP",CELL("filename",A1))-1)</f>
        <v>C:\Users\apple_gi6luwz\Big Star Transit LLC Dropbox\Big Star Transit LLC Team Folder\A ACCOUNTING\2025 A CORP INVOICING\2 IL\AUTOMATIONS\</v>
      </c>
    </row>
    <row r="9" spans="1:5" x14ac:dyDescent="0.25">
      <c r="A9" s="1" t="s">
        <v>252</v>
      </c>
      <c r="B9" s="1" t="s">
        <v>256</v>
      </c>
      <c r="C9" s="1" t="s">
        <v>257</v>
      </c>
      <c r="D9" s="1" t="s">
        <v>258</v>
      </c>
      <c r="E9" s="1" t="s">
        <v>259</v>
      </c>
    </row>
    <row r="10" spans="1:5" x14ac:dyDescent="0.25">
      <c r="A10" t="s">
        <v>260</v>
      </c>
      <c r="B10" t="s">
        <v>279</v>
      </c>
      <c r="D10" t="s">
        <v>261</v>
      </c>
      <c r="E10" t="str">
        <f ca="1">CONCATENATE($B$3,A10,B10)</f>
        <v>C:\Users\apple_gi6luwz\Big Star Transit LLC Dropbox\Big Star Transit LLC Team Folder\A ACCOUNTING\2025 A CORP INVOICING\2 IL\AUTOMATIONS\VDP Automation\RAW DATA\UBER REPORT\</v>
      </c>
    </row>
    <row r="11" spans="1:5" x14ac:dyDescent="0.25">
      <c r="A11" t="s">
        <v>260</v>
      </c>
      <c r="B11" t="s">
        <v>262</v>
      </c>
      <c r="D11" t="s">
        <v>263</v>
      </c>
      <c r="E11" t="str">
        <f ca="1">CONCATENATE($B$3,A11,B11)</f>
        <v>C:\Users\apple_gi6luwz\Big Star Transit LLC Dropbox\Big Star Transit LLC Team Folder\A ACCOUNTING\2025 A CORP INVOICING\2 IL\AUTOMATIONS\VDP Automation\RAW DATA\FIRST REPORT\</v>
      </c>
    </row>
    <row r="12" spans="1:5" x14ac:dyDescent="0.25">
      <c r="C12" t="s">
        <v>264</v>
      </c>
      <c r="D12" t="s">
        <v>265</v>
      </c>
      <c r="E12" t="str">
        <f ca="1">CONCATENATE($B$3,A12,B12,C12)</f>
        <v>C:\Users\apple_gi6luwz\Big Star Transit LLC Dropbox\Big Star Transit LLC Team Folder\A ACCOUNTING\2025 A CORP INVOICING\2 IL\AUTOMATIONS\VDP Automation\Operator Deductions-Other Earnings.xlsx</v>
      </c>
    </row>
    <row r="13" spans="1:5" x14ac:dyDescent="0.25">
      <c r="C13" t="s">
        <v>266</v>
      </c>
      <c r="D13" t="s">
        <v>267</v>
      </c>
      <c r="E13" t="str">
        <f ca="1">CONCATENATE($B$4,B13,A13,C13)</f>
        <v>C:\Users\apple_gi6luwz\Big Star Transit LLC Dropbox\Big Star Transit LLC Team Folder\A ACCOUNTING\2025 A CORP INVOICING\2 IL\AUTOMATIONS\DIV 2 Partner List.xlsx</v>
      </c>
    </row>
    <row r="14" spans="1:5" x14ac:dyDescent="0.25">
      <c r="C14" t="s">
        <v>268</v>
      </c>
      <c r="D14" t="s">
        <v>269</v>
      </c>
      <c r="E14" t="str">
        <f ca="1">CONCATENATE($B$4,B14,A14,C14)</f>
        <v>C:\Users\apple_gi6luwz\Big Star Transit LLC Dropbox\Big Star Transit LLC Team Folder\A ACCOUNTING\2025 A CORP INVOICING\2 IL\AUTOMATIONS\DIV 2 Partner Rates.xlsx</v>
      </c>
    </row>
    <row r="15" spans="1:5" x14ac:dyDescent="0.25">
      <c r="C15" t="s">
        <v>270</v>
      </c>
      <c r="D15" t="s">
        <v>271</v>
      </c>
      <c r="E15" t="str">
        <f ca="1">CONCATENATE($B$4,B15,A15,C15)</f>
        <v>C:\Users\apple_gi6luwz\Big Star Transit LLC Dropbox\Big Star Transit LLC Team Folder\A ACCOUNTING\2025 A CORP INVOICING\2 IL\AUTOMATIONS\DIV 2 Partner Change.xlsx</v>
      </c>
    </row>
    <row r="16" spans="1:5" x14ac:dyDescent="0.25">
      <c r="C16" t="s">
        <v>272</v>
      </c>
      <c r="D16" t="s">
        <v>273</v>
      </c>
      <c r="E16" t="str">
        <f ca="1">CONCATENATE($B$3,B16,A16,C16)</f>
        <v>C:\Users\apple_gi6luwz\Big Star Transit LLC Dropbox\Big Star Transit LLC Team Folder\A ACCOUNTING\2025 A CORP INVOICING\2 IL\AUTOMATIONS\VDP Automation\MPG per vehicle.xlsx</v>
      </c>
    </row>
    <row r="17" spans="1:5" x14ac:dyDescent="0.25">
      <c r="C17" t="s">
        <v>274</v>
      </c>
      <c r="D17" t="s">
        <v>275</v>
      </c>
      <c r="E17" t="str">
        <f ca="1">CONCATENATE($B$3,B17,A17,C17)</f>
        <v>C:\Users\apple_gi6luwz\Big Star Transit LLC Dropbox\Big Star Transit LLC Team Folder\A ACCOUNTING\2025 A CORP INVOICING\2 IL\AUTOMATIONS\VDP Automation\AAA Fuel Record.xlsx</v>
      </c>
    </row>
    <row r="18" spans="1:5" x14ac:dyDescent="0.25">
      <c r="A18" t="s">
        <v>260</v>
      </c>
      <c r="B18" t="s">
        <v>276</v>
      </c>
      <c r="D18" t="s">
        <v>277</v>
      </c>
      <c r="E18" t="str">
        <f ca="1">CONCATENATE($B$3,A18,B18)</f>
        <v>C:\Users\apple_gi6luwz\Big Star Transit LLC Dropbox\Big Star Transit LLC Team Folder\A ACCOUNTING\2025 A CORP INVOICING\2 IL\AUTOMATIONS\VDP Automation\RAW DATA\Miles\</v>
      </c>
    </row>
    <row r="19" spans="1:5" x14ac:dyDescent="0.25">
      <c r="A19" t="s">
        <v>260</v>
      </c>
      <c r="B19" t="s">
        <v>24</v>
      </c>
      <c r="D19" t="s">
        <v>278</v>
      </c>
      <c r="E19" t="str">
        <f ca="1">CONCATENATE($B$3,A19,B19)</f>
        <v>C:\Users\apple_gi6luwz\Big Star Transit LLC Dropbox\Big Star Transit LLC Team Folder\A ACCOUNTING\2025 A CORP INVOICING\2 IL\AUTOMATIONS\VDP Automation\RAW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Deduction and other Revenue</vt:lpstr>
      <vt:lpstr>PR</vt:lpstr>
      <vt:lpstr>NewSheet</vt:lpstr>
      <vt:lpstr>VDPMVReport</vt:lpstr>
      <vt:lpstr>Sheet1</vt:lpstr>
      <vt:lpstr>SumVDPMVReport</vt:lpstr>
      <vt:lpstr>Div2PartnerOperatorCheck</vt:lpstr>
      <vt:lpstr>ExPre</vt:lpstr>
      <vt:lpstr>Div2PartnerListPR</vt:lpstr>
      <vt:lpstr>Div2PartnerList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Apple Ramirez</cp:lastModifiedBy>
  <cp:revision/>
  <dcterms:created xsi:type="dcterms:W3CDTF">2023-08-16T16:37:36Z</dcterms:created>
  <dcterms:modified xsi:type="dcterms:W3CDTF">2025-02-19T16:46:05Z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</Properties>
</file>